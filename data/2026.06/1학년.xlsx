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ython_projects\yanghyeon-mock\data\2026.06\"/>
    </mc:Choice>
  </mc:AlternateContent>
  <xr:revisionPtr revIDLastSave="0" documentId="13_ncr:1_{AD176194-522B-4DA3-A45D-ED1FFE235C91}" xr6:coauthVersionLast="47" xr6:coauthVersionMax="47" xr10:uidLastSave="{00000000-0000-0000-0000-000000000000}"/>
  <bookViews>
    <workbookView xWindow="59100" yWindow="375" windowWidth="24690" windowHeight="13050" activeTab="1" xr2:uid="{00000000-000D-0000-FFFF-FFFF00000000}"/>
  </bookViews>
  <sheets>
    <sheet name="예상등급" sheetId="28" r:id="rId1"/>
    <sheet name="예상점수" sheetId="38" r:id="rId2"/>
  </sheets>
  <externalReferences>
    <externalReference r:id="rId3"/>
  </externalReferences>
  <definedNames>
    <definedName name="_xlnm._FilterDatabase" localSheetId="1" hidden="1">예상점수!$M$3:$M$226</definedName>
    <definedName name="n" localSheetId="1">[1]인문!#REF!</definedName>
    <definedName name="n">[1]인문!#REF!</definedName>
    <definedName name="_xlnm.Print_Area" localSheetId="0">예상등급!$A$1:$E$27</definedName>
    <definedName name="_xlnm.Print_Area" localSheetId="1">예상점수!$A$1:$W$236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4" i="38" l="1"/>
  <c r="AF4" i="38"/>
  <c r="AG4" i="38"/>
  <c r="AH4" i="38"/>
  <c r="AI4" i="38"/>
  <c r="AJ4" i="38"/>
  <c r="AE5" i="38"/>
  <c r="AF5" i="38"/>
  <c r="AG5" i="38"/>
  <c r="AH5" i="38"/>
  <c r="AI5" i="38"/>
  <c r="AJ5" i="38"/>
  <c r="AE6" i="38"/>
  <c r="AF6" i="38"/>
  <c r="AG6" i="38"/>
  <c r="AH6" i="38"/>
  <c r="AI6" i="38"/>
  <c r="AJ6" i="38"/>
  <c r="AE7" i="38"/>
  <c r="AF7" i="38"/>
  <c r="AG7" i="38"/>
  <c r="AH7" i="38"/>
  <c r="AI7" i="38"/>
  <c r="AJ7" i="38"/>
  <c r="AE8" i="38"/>
  <c r="AF8" i="38"/>
  <c r="AG8" i="38"/>
  <c r="AH8" i="38"/>
  <c r="AI8" i="38"/>
  <c r="AJ8" i="38"/>
  <c r="AE9" i="38"/>
  <c r="AF9" i="38"/>
  <c r="AG9" i="38"/>
  <c r="AH9" i="38"/>
  <c r="AI9" i="38"/>
  <c r="AJ9" i="38"/>
  <c r="AE10" i="38"/>
  <c r="AF10" i="38"/>
  <c r="AG10" i="38"/>
  <c r="AH10" i="38"/>
  <c r="AI10" i="38"/>
  <c r="AJ10" i="38"/>
  <c r="AE11" i="38"/>
  <c r="AF11" i="38"/>
  <c r="AG11" i="38"/>
  <c r="AH11" i="38"/>
  <c r="AI11" i="38"/>
  <c r="AJ11" i="38"/>
  <c r="AE12" i="38"/>
  <c r="AF12" i="38"/>
  <c r="AG12" i="38"/>
  <c r="AH12" i="38"/>
  <c r="AI12" i="38"/>
  <c r="AJ12" i="38"/>
  <c r="V5" i="38"/>
  <c r="V6" i="38"/>
  <c r="W5" i="38" s="1"/>
  <c r="V7" i="38"/>
  <c r="W6" i="38" s="1"/>
  <c r="V8" i="38"/>
  <c r="W7" i="38" s="1"/>
  <c r="V9" i="38"/>
  <c r="W271" i="38" s="1"/>
  <c r="V10" i="38"/>
  <c r="V11" i="38"/>
  <c r="W11" i="38" s="1"/>
  <c r="V12" i="38"/>
  <c r="W10" i="38" s="1"/>
  <c r="V13" i="38"/>
  <c r="V14" i="38"/>
  <c r="W14" i="38" s="1"/>
  <c r="V15" i="38"/>
  <c r="V16" i="38"/>
  <c r="W99" i="38" s="1"/>
  <c r="W16" i="38"/>
  <c r="V17" i="38"/>
  <c r="V18" i="38"/>
  <c r="W18" i="38" s="1"/>
  <c r="V19" i="38"/>
  <c r="V20" i="38"/>
  <c r="W20" i="38" s="1"/>
  <c r="V21" i="38"/>
  <c r="W21" i="38" s="1"/>
  <c r="V22" i="38"/>
  <c r="V23" i="38"/>
  <c r="W23" i="38" s="1"/>
  <c r="V24" i="38"/>
  <c r="W24" i="38" s="1"/>
  <c r="V25" i="38"/>
  <c r="V26" i="38"/>
  <c r="W26" i="38" s="1"/>
  <c r="V27" i="38"/>
  <c r="V28" i="38"/>
  <c r="W28" i="38"/>
  <c r="V29" i="38"/>
  <c r="V30" i="38"/>
  <c r="V31" i="38"/>
  <c r="V32" i="38"/>
  <c r="W32" i="38" s="1"/>
  <c r="V33" i="38"/>
  <c r="W33" i="38" s="1"/>
  <c r="V34" i="38"/>
  <c r="V35" i="38"/>
  <c r="W35" i="38" s="1"/>
  <c r="V36" i="38"/>
  <c r="W36" i="38" s="1"/>
  <c r="V37" i="38"/>
  <c r="V38" i="38"/>
  <c r="W38" i="38" s="1"/>
  <c r="V39" i="38"/>
  <c r="V40" i="38"/>
  <c r="W40" i="38"/>
  <c r="V41" i="38"/>
  <c r="V42" i="38"/>
  <c r="V43" i="38"/>
  <c r="V44" i="38"/>
  <c r="W44" i="38" s="1"/>
  <c r="V45" i="38"/>
  <c r="W45" i="38" s="1"/>
  <c r="V46" i="38"/>
  <c r="V47" i="38"/>
  <c r="W47" i="38" s="1"/>
  <c r="V48" i="38"/>
  <c r="W48" i="38" s="1"/>
  <c r="V49" i="38"/>
  <c r="V50" i="38"/>
  <c r="W50" i="38" s="1"/>
  <c r="V51" i="38"/>
  <c r="V52" i="38"/>
  <c r="W52" i="38"/>
  <c r="V53" i="38"/>
  <c r="V54" i="38"/>
  <c r="V55" i="38"/>
  <c r="V56" i="38"/>
  <c r="W56" i="38" s="1"/>
  <c r="V57" i="38"/>
  <c r="W57" i="38" s="1"/>
  <c r="V58" i="38"/>
  <c r="V59" i="38"/>
  <c r="W59" i="38" s="1"/>
  <c r="V60" i="38"/>
  <c r="W60" i="38" s="1"/>
  <c r="V61" i="38"/>
  <c r="V62" i="38"/>
  <c r="W62" i="38" s="1"/>
  <c r="V63" i="38"/>
  <c r="V64" i="38"/>
  <c r="W64" i="38"/>
  <c r="V65" i="38"/>
  <c r="V66" i="38"/>
  <c r="V67" i="38"/>
  <c r="V68" i="38"/>
  <c r="W68" i="38" s="1"/>
  <c r="V69" i="38"/>
  <c r="W69" i="38" s="1"/>
  <c r="V70" i="38"/>
  <c r="V71" i="38"/>
  <c r="W71" i="38" s="1"/>
  <c r="V72" i="38"/>
  <c r="W72" i="38" s="1"/>
  <c r="V73" i="38"/>
  <c r="V74" i="38"/>
  <c r="W74" i="38" s="1"/>
  <c r="V75" i="38"/>
  <c r="V76" i="38"/>
  <c r="W76" i="38"/>
  <c r="V77" i="38"/>
  <c r="V78" i="38"/>
  <c r="V79" i="38"/>
  <c r="V80" i="38"/>
  <c r="W80" i="38" s="1"/>
  <c r="V81" i="38"/>
  <c r="W81" i="38" s="1"/>
  <c r="V82" i="38"/>
  <c r="V83" i="38"/>
  <c r="W83" i="38" s="1"/>
  <c r="V84" i="38"/>
  <c r="W84" i="38" s="1"/>
  <c r="V85" i="38"/>
  <c r="V86" i="38"/>
  <c r="W86" i="38" s="1"/>
  <c r="V87" i="38"/>
  <c r="V88" i="38"/>
  <c r="W88" i="38"/>
  <c r="V89" i="38"/>
  <c r="V90" i="38"/>
  <c r="V91" i="38"/>
  <c r="V92" i="38"/>
  <c r="W92" i="38" s="1"/>
  <c r="V93" i="38"/>
  <c r="W93" i="38" s="1"/>
  <c r="V94" i="38"/>
  <c r="V95" i="38"/>
  <c r="W95" i="38" s="1"/>
  <c r="V96" i="38"/>
  <c r="W96" i="38" s="1"/>
  <c r="V97" i="38"/>
  <c r="V98" i="38"/>
  <c r="W98" i="38" s="1"/>
  <c r="V99" i="38"/>
  <c r="V100" i="38"/>
  <c r="W100" i="38"/>
  <c r="V101" i="38"/>
  <c r="V102" i="38"/>
  <c r="V103" i="38"/>
  <c r="V104" i="38"/>
  <c r="W104" i="38" s="1"/>
  <c r="V105" i="38"/>
  <c r="W105" i="38" s="1"/>
  <c r="V106" i="38"/>
  <c r="V107" i="38"/>
  <c r="W107" i="38" s="1"/>
  <c r="V108" i="38"/>
  <c r="W108" i="38" s="1"/>
  <c r="V109" i="38"/>
  <c r="V110" i="38"/>
  <c r="W110" i="38" s="1"/>
  <c r="V111" i="38"/>
  <c r="V112" i="38"/>
  <c r="W112" i="38"/>
  <c r="V113" i="38"/>
  <c r="V114" i="38"/>
  <c r="V115" i="38"/>
  <c r="V116" i="38"/>
  <c r="W116" i="38" s="1"/>
  <c r="V117" i="38"/>
  <c r="W117" i="38" s="1"/>
  <c r="V118" i="38"/>
  <c r="V119" i="38"/>
  <c r="W119" i="38" s="1"/>
  <c r="V120" i="38"/>
  <c r="W120" i="38" s="1"/>
  <c r="V121" i="38"/>
  <c r="V122" i="38"/>
  <c r="W122" i="38" s="1"/>
  <c r="V123" i="38"/>
  <c r="V124" i="38"/>
  <c r="W124" i="38"/>
  <c r="V125" i="38"/>
  <c r="V126" i="38"/>
  <c r="V127" i="38"/>
  <c r="V128" i="38"/>
  <c r="W128" i="38" s="1"/>
  <c r="V129" i="38"/>
  <c r="W129" i="38" s="1"/>
  <c r="V130" i="38"/>
  <c r="V131" i="38"/>
  <c r="W131" i="38" s="1"/>
  <c r="V132" i="38"/>
  <c r="W132" i="38" s="1"/>
  <c r="V133" i="38"/>
  <c r="V134" i="38"/>
  <c r="W134" i="38" s="1"/>
  <c r="V135" i="38"/>
  <c r="V136" i="38"/>
  <c r="W136" i="38"/>
  <c r="V137" i="38"/>
  <c r="V138" i="38"/>
  <c r="V139" i="38"/>
  <c r="V140" i="38"/>
  <c r="W140" i="38" s="1"/>
  <c r="V141" i="38"/>
  <c r="W141" i="38" s="1"/>
  <c r="V142" i="38"/>
  <c r="V143" i="38"/>
  <c r="W143" i="38" s="1"/>
  <c r="V144" i="38"/>
  <c r="W144" i="38" s="1"/>
  <c r="V145" i="38"/>
  <c r="V146" i="38"/>
  <c r="W146" i="38" s="1"/>
  <c r="V147" i="38"/>
  <c r="V148" i="38"/>
  <c r="W148" i="38"/>
  <c r="V149" i="38"/>
  <c r="V150" i="38"/>
  <c r="V151" i="38"/>
  <c r="V152" i="38"/>
  <c r="W152" i="38" s="1"/>
  <c r="V153" i="38"/>
  <c r="W153" i="38" s="1"/>
  <c r="V154" i="38"/>
  <c r="V155" i="38"/>
  <c r="W155" i="38" s="1"/>
  <c r="V156" i="38"/>
  <c r="W156" i="38" s="1"/>
  <c r="V157" i="38"/>
  <c r="V158" i="38"/>
  <c r="W158" i="38" s="1"/>
  <c r="V159" i="38"/>
  <c r="V160" i="38"/>
  <c r="W160" i="38"/>
  <c r="V161" i="38"/>
  <c r="V162" i="38"/>
  <c r="V163" i="38"/>
  <c r="V164" i="38"/>
  <c r="W164" i="38" s="1"/>
  <c r="V165" i="38"/>
  <c r="W165" i="38" s="1"/>
  <c r="V166" i="38"/>
  <c r="V167" i="38"/>
  <c r="W167" i="38" s="1"/>
  <c r="V168" i="38"/>
  <c r="W168" i="38" s="1"/>
  <c r="V169" i="38"/>
  <c r="V170" i="38"/>
  <c r="W170" i="38" s="1"/>
  <c r="V171" i="38"/>
  <c r="V172" i="38"/>
  <c r="W172" i="38"/>
  <c r="V173" i="38"/>
  <c r="V174" i="38"/>
  <c r="V175" i="38"/>
  <c r="V176" i="38"/>
  <c r="W176" i="38" s="1"/>
  <c r="V177" i="38"/>
  <c r="W177" i="38" s="1"/>
  <c r="V178" i="38"/>
  <c r="V179" i="38"/>
  <c r="W179" i="38" s="1"/>
  <c r="V180" i="38"/>
  <c r="W180" i="38" s="1"/>
  <c r="V181" i="38"/>
  <c r="V182" i="38"/>
  <c r="W182" i="38" s="1"/>
  <c r="V183" i="38"/>
  <c r="V184" i="38"/>
  <c r="W111" i="38" s="1"/>
  <c r="W184" i="38"/>
  <c r="V185" i="38"/>
  <c r="V186" i="38"/>
  <c r="V187" i="38"/>
  <c r="V188" i="38"/>
  <c r="W188" i="38" s="1"/>
  <c r="V189" i="38"/>
  <c r="W189" i="38" s="1"/>
  <c r="V190" i="38"/>
  <c r="V191" i="38"/>
  <c r="W191" i="38" s="1"/>
  <c r="V192" i="38"/>
  <c r="W192" i="38" s="1"/>
  <c r="V193" i="38"/>
  <c r="V194" i="38"/>
  <c r="W194" i="38" s="1"/>
  <c r="V195" i="38"/>
  <c r="V196" i="38"/>
  <c r="W196" i="38"/>
  <c r="V197" i="38"/>
  <c r="V198" i="38"/>
  <c r="V199" i="38"/>
  <c r="V200" i="38"/>
  <c r="W200" i="38" s="1"/>
  <c r="V201" i="38"/>
  <c r="W201" i="38" s="1"/>
  <c r="V202" i="38"/>
  <c r="V203" i="38"/>
  <c r="W203" i="38" s="1"/>
  <c r="V204" i="38"/>
  <c r="W204" i="38" s="1"/>
  <c r="V205" i="38"/>
  <c r="V206" i="38"/>
  <c r="W206" i="38" s="1"/>
  <c r="V207" i="38"/>
  <c r="V208" i="38"/>
  <c r="W208" i="38"/>
  <c r="V209" i="38"/>
  <c r="V210" i="38"/>
  <c r="V211" i="38"/>
  <c r="V212" i="38"/>
  <c r="W212" i="38" s="1"/>
  <c r="V213" i="38"/>
  <c r="W213" i="38" s="1"/>
  <c r="V214" i="38"/>
  <c r="V215" i="38"/>
  <c r="W215" i="38" s="1"/>
  <c r="V216" i="38"/>
  <c r="W216" i="38" s="1"/>
  <c r="V217" i="38"/>
  <c r="V218" i="38"/>
  <c r="W218" i="38" s="1"/>
  <c r="V219" i="38"/>
  <c r="V220" i="38"/>
  <c r="W220" i="38"/>
  <c r="V221" i="38"/>
  <c r="V222" i="38"/>
  <c r="V223" i="38"/>
  <c r="V224" i="38"/>
  <c r="W224" i="38" s="1"/>
  <c r="V225" i="38"/>
  <c r="W225" i="38" s="1"/>
  <c r="V226" i="38"/>
  <c r="V227" i="38"/>
  <c r="W227" i="38" s="1"/>
  <c r="V228" i="38"/>
  <c r="W228" i="38" s="1"/>
  <c r="V229" i="38"/>
  <c r="V230" i="38"/>
  <c r="W230" i="38" s="1"/>
  <c r="V231" i="38"/>
  <c r="V232" i="38"/>
  <c r="W232" i="38"/>
  <c r="V233" i="38"/>
  <c r="V234" i="38"/>
  <c r="V235" i="38"/>
  <c r="V236" i="38"/>
  <c r="W236" i="38" s="1"/>
  <c r="V237" i="38"/>
  <c r="W237" i="38" s="1"/>
  <c r="V238" i="38"/>
  <c r="V239" i="38"/>
  <c r="W239" i="38" s="1"/>
  <c r="V240" i="38"/>
  <c r="W240" i="38" s="1"/>
  <c r="V241" i="38"/>
  <c r="V242" i="38"/>
  <c r="W242" i="38" s="1"/>
  <c r="V243" i="38"/>
  <c r="V244" i="38"/>
  <c r="W244" i="38"/>
  <c r="V245" i="38"/>
  <c r="V246" i="38"/>
  <c r="V247" i="38"/>
  <c r="V248" i="38"/>
  <c r="W248" i="38" s="1"/>
  <c r="V249" i="38"/>
  <c r="W249" i="38" s="1"/>
  <c r="V250" i="38"/>
  <c r="V251" i="38"/>
  <c r="W251" i="38" s="1"/>
  <c r="V252" i="38"/>
  <c r="W252" i="38" s="1"/>
  <c r="V253" i="38"/>
  <c r="V254" i="38"/>
  <c r="W254" i="38" s="1"/>
  <c r="V255" i="38"/>
  <c r="V256" i="38"/>
  <c r="W256" i="38"/>
  <c r="V257" i="38"/>
  <c r="V258" i="38"/>
  <c r="V259" i="38"/>
  <c r="V260" i="38"/>
  <c r="W260" i="38" s="1"/>
  <c r="V261" i="38"/>
  <c r="W261" i="38" s="1"/>
  <c r="V262" i="38"/>
  <c r="V263" i="38"/>
  <c r="W263" i="38" s="1"/>
  <c r="V264" i="38"/>
  <c r="W264" i="38" s="1"/>
  <c r="V265" i="38"/>
  <c r="V266" i="38"/>
  <c r="W266" i="38" s="1"/>
  <c r="V267" i="38"/>
  <c r="V268" i="38"/>
  <c r="W268" i="38"/>
  <c r="V269" i="38"/>
  <c r="V270" i="38"/>
  <c r="V271" i="38"/>
  <c r="V272" i="38"/>
  <c r="W272" i="38" s="1"/>
  <c r="V273" i="38"/>
  <c r="W273" i="38" s="1"/>
  <c r="V4" i="38"/>
  <c r="L5" i="38"/>
  <c r="L6" i="38"/>
  <c r="L7" i="38"/>
  <c r="L8" i="38"/>
  <c r="L9" i="38"/>
  <c r="L10" i="38"/>
  <c r="M82" i="38" s="1"/>
  <c r="L11" i="38"/>
  <c r="M255" i="38" s="1"/>
  <c r="L12" i="38"/>
  <c r="L13" i="38"/>
  <c r="L14" i="38"/>
  <c r="L15" i="38"/>
  <c r="L16" i="38"/>
  <c r="M167" i="38" s="1"/>
  <c r="L17" i="38"/>
  <c r="L18" i="38"/>
  <c r="L19" i="38"/>
  <c r="L20" i="38"/>
  <c r="L21" i="38"/>
  <c r="L22" i="38"/>
  <c r="L23" i="38"/>
  <c r="M23" i="38" s="1"/>
  <c r="L24" i="38"/>
  <c r="L25" i="38"/>
  <c r="L26" i="38"/>
  <c r="L27" i="38"/>
  <c r="L28" i="38"/>
  <c r="L29" i="38"/>
  <c r="L30" i="38"/>
  <c r="L31" i="38"/>
  <c r="L32" i="38"/>
  <c r="L33" i="38"/>
  <c r="L34" i="38"/>
  <c r="L35" i="38"/>
  <c r="M130" i="38" s="1"/>
  <c r="L36" i="38"/>
  <c r="L37" i="38"/>
  <c r="L38" i="38"/>
  <c r="L39" i="38"/>
  <c r="L40" i="38"/>
  <c r="L41" i="38"/>
  <c r="L42" i="38"/>
  <c r="L43" i="38"/>
  <c r="L44" i="38"/>
  <c r="L45" i="38"/>
  <c r="L46" i="38"/>
  <c r="M46" i="38" s="1"/>
  <c r="L47" i="38"/>
  <c r="L48" i="38"/>
  <c r="L49" i="38"/>
  <c r="L50" i="38"/>
  <c r="L51" i="38"/>
  <c r="L52" i="38"/>
  <c r="L53" i="38"/>
  <c r="L54" i="38"/>
  <c r="M54" i="38" s="1"/>
  <c r="L55" i="38"/>
  <c r="L56" i="38"/>
  <c r="L57" i="38"/>
  <c r="L58" i="38"/>
  <c r="L59" i="38"/>
  <c r="L60" i="38"/>
  <c r="L61" i="38"/>
  <c r="L62" i="38"/>
  <c r="L63" i="38"/>
  <c r="L64" i="38"/>
  <c r="M64" i="38" s="1"/>
  <c r="L65" i="38"/>
  <c r="L66" i="38"/>
  <c r="L67" i="38"/>
  <c r="L68" i="38"/>
  <c r="L69" i="38"/>
  <c r="L70" i="38"/>
  <c r="M70" i="38" s="1"/>
  <c r="L71" i="38"/>
  <c r="L72" i="38"/>
  <c r="L73" i="38"/>
  <c r="L74" i="38"/>
  <c r="L75" i="38"/>
  <c r="L76" i="38"/>
  <c r="L77" i="38"/>
  <c r="L78" i="38"/>
  <c r="L79" i="38"/>
  <c r="L80" i="38"/>
  <c r="L81" i="38"/>
  <c r="L82" i="38"/>
  <c r="L83" i="38"/>
  <c r="M83" i="38" s="1"/>
  <c r="L84" i="38"/>
  <c r="L85" i="38"/>
  <c r="L86" i="38"/>
  <c r="L87" i="38"/>
  <c r="L88" i="38"/>
  <c r="M88" i="38" s="1"/>
  <c r="L89" i="38"/>
  <c r="L90" i="38"/>
  <c r="L91" i="38"/>
  <c r="L92" i="38"/>
  <c r="L93" i="38"/>
  <c r="L94" i="38"/>
  <c r="M94" i="38" s="1"/>
  <c r="L95" i="38"/>
  <c r="M95" i="38" s="1"/>
  <c r="L96" i="38"/>
  <c r="L97" i="38"/>
  <c r="L98" i="38"/>
  <c r="L99" i="38"/>
  <c r="L100" i="38"/>
  <c r="M100" i="38" s="1"/>
  <c r="L101" i="38"/>
  <c r="L102" i="38"/>
  <c r="L103" i="38"/>
  <c r="L104" i="38"/>
  <c r="L105" i="38"/>
  <c r="L106" i="38"/>
  <c r="L107" i="38"/>
  <c r="M107" i="38" s="1"/>
  <c r="L108" i="38"/>
  <c r="L109" i="38"/>
  <c r="L110" i="38"/>
  <c r="L111" i="38"/>
  <c r="L112" i="38"/>
  <c r="M112" i="38" s="1"/>
  <c r="L113" i="38"/>
  <c r="L114" i="38"/>
  <c r="L115" i="38"/>
  <c r="L116" i="38"/>
  <c r="L117" i="38"/>
  <c r="L118" i="38"/>
  <c r="L119" i="38"/>
  <c r="M119" i="38" s="1"/>
  <c r="L120" i="38"/>
  <c r="L121" i="38"/>
  <c r="L122" i="38"/>
  <c r="L123" i="38"/>
  <c r="L124" i="38"/>
  <c r="L125" i="38"/>
  <c r="L126" i="38"/>
  <c r="L127" i="38"/>
  <c r="L128" i="38"/>
  <c r="L129" i="38"/>
  <c r="L130" i="38"/>
  <c r="L131" i="38"/>
  <c r="M131" i="38" s="1"/>
  <c r="L132" i="38"/>
  <c r="L133" i="38"/>
  <c r="L134" i="38"/>
  <c r="L135" i="38"/>
  <c r="L136" i="38"/>
  <c r="L137" i="38"/>
  <c r="L138" i="38"/>
  <c r="L139" i="38"/>
  <c r="L140" i="38"/>
  <c r="L141" i="38"/>
  <c r="L142" i="38"/>
  <c r="L143" i="38"/>
  <c r="L144" i="38"/>
  <c r="L145" i="38"/>
  <c r="L146" i="38"/>
  <c r="L147" i="38"/>
  <c r="L148" i="38"/>
  <c r="L149" i="38"/>
  <c r="L150" i="38"/>
  <c r="M150" i="38" s="1"/>
  <c r="L151" i="38"/>
  <c r="L152" i="38"/>
  <c r="L153" i="38"/>
  <c r="L154" i="38"/>
  <c r="L155" i="38"/>
  <c r="L156" i="38"/>
  <c r="L157" i="38"/>
  <c r="L158" i="38"/>
  <c r="L159" i="38"/>
  <c r="L160" i="38"/>
  <c r="M160" i="38" s="1"/>
  <c r="L161" i="38"/>
  <c r="L162" i="38"/>
  <c r="L163" i="38"/>
  <c r="L164" i="38"/>
  <c r="L165" i="38"/>
  <c r="L166" i="38"/>
  <c r="L167" i="38"/>
  <c r="L168" i="38"/>
  <c r="L169" i="38"/>
  <c r="L170" i="38"/>
  <c r="L171" i="38"/>
  <c r="L172" i="38"/>
  <c r="L173" i="38"/>
  <c r="L174" i="38"/>
  <c r="L175" i="38"/>
  <c r="L176" i="38"/>
  <c r="L177" i="38"/>
  <c r="L178" i="38"/>
  <c r="L179" i="38"/>
  <c r="M179" i="38" s="1"/>
  <c r="L180" i="38"/>
  <c r="L181" i="38"/>
  <c r="L182" i="38"/>
  <c r="L183" i="38"/>
  <c r="L184" i="38"/>
  <c r="M184" i="38" s="1"/>
  <c r="L185" i="38"/>
  <c r="L186" i="38"/>
  <c r="L187" i="38"/>
  <c r="L188" i="38"/>
  <c r="L189" i="38"/>
  <c r="L190" i="38"/>
  <c r="M190" i="38" s="1"/>
  <c r="L191" i="38"/>
  <c r="L192" i="38"/>
  <c r="L193" i="38"/>
  <c r="L194" i="38"/>
  <c r="L195" i="38"/>
  <c r="L196" i="38"/>
  <c r="M196" i="38" s="1"/>
  <c r="L197" i="38"/>
  <c r="L198" i="38"/>
  <c r="L199" i="38"/>
  <c r="L200" i="38"/>
  <c r="L201" i="38"/>
  <c r="L202" i="38"/>
  <c r="L203" i="38"/>
  <c r="M203" i="38" s="1"/>
  <c r="L204" i="38"/>
  <c r="L205" i="38"/>
  <c r="L206" i="38"/>
  <c r="L207" i="38"/>
  <c r="L208" i="38"/>
  <c r="M208" i="38" s="1"/>
  <c r="L209" i="38"/>
  <c r="L210" i="38"/>
  <c r="L211" i="38"/>
  <c r="L212" i="38"/>
  <c r="L213" i="38"/>
  <c r="L214" i="38"/>
  <c r="L215" i="38"/>
  <c r="M215" i="38" s="1"/>
  <c r="L216" i="38"/>
  <c r="L217" i="38"/>
  <c r="L218" i="38"/>
  <c r="L219" i="38"/>
  <c r="L220" i="38"/>
  <c r="L221" i="38"/>
  <c r="L222" i="38"/>
  <c r="L223" i="38"/>
  <c r="L224" i="38"/>
  <c r="L225" i="38"/>
  <c r="L226" i="38"/>
  <c r="L227" i="38"/>
  <c r="M227" i="38" s="1"/>
  <c r="L228" i="38"/>
  <c r="L229" i="38"/>
  <c r="L230" i="38"/>
  <c r="L231" i="38"/>
  <c r="L232" i="38"/>
  <c r="L233" i="38"/>
  <c r="L234" i="38"/>
  <c r="L235" i="38"/>
  <c r="L236" i="38"/>
  <c r="L237" i="38"/>
  <c r="L238" i="38"/>
  <c r="L239" i="38"/>
  <c r="L240" i="38"/>
  <c r="L241" i="38"/>
  <c r="L242" i="38"/>
  <c r="L243" i="38"/>
  <c r="L244" i="38"/>
  <c r="L245" i="38"/>
  <c r="L246" i="38"/>
  <c r="L247" i="38"/>
  <c r="L248" i="38"/>
  <c r="L249" i="38"/>
  <c r="L250" i="38"/>
  <c r="L251" i="38"/>
  <c r="L252" i="38"/>
  <c r="L253" i="38"/>
  <c r="L254" i="38"/>
  <c r="L255" i="38"/>
  <c r="L256" i="38"/>
  <c r="L257" i="38"/>
  <c r="L258" i="38"/>
  <c r="L259" i="38"/>
  <c r="L260" i="38"/>
  <c r="L261" i="38"/>
  <c r="L262" i="38"/>
  <c r="L263" i="38"/>
  <c r="L264" i="38"/>
  <c r="L265" i="38"/>
  <c r="L266" i="38"/>
  <c r="L267" i="38"/>
  <c r="L268" i="38"/>
  <c r="L269" i="38"/>
  <c r="L270" i="38"/>
  <c r="L271" i="38"/>
  <c r="L272" i="38"/>
  <c r="L273" i="38"/>
  <c r="W39" i="38" l="1"/>
  <c r="W51" i="38"/>
  <c r="W267" i="38"/>
  <c r="W231" i="38"/>
  <c r="W15" i="38"/>
  <c r="W255" i="38"/>
  <c r="W243" i="38"/>
  <c r="W219" i="38"/>
  <c r="W27" i="38"/>
  <c r="W265" i="38"/>
  <c r="W253" i="38"/>
  <c r="W241" i="38"/>
  <c r="W229" i="38"/>
  <c r="W217" i="38"/>
  <c r="W205" i="38"/>
  <c r="W193" i="38"/>
  <c r="W181" i="38"/>
  <c r="W169" i="38"/>
  <c r="W157" i="38"/>
  <c r="W145" i="38"/>
  <c r="W133" i="38"/>
  <c r="W121" i="38"/>
  <c r="W109" i="38"/>
  <c r="W97" i="38"/>
  <c r="W85" i="38"/>
  <c r="W73" i="38"/>
  <c r="W61" i="38"/>
  <c r="W49" i="38"/>
  <c r="W37" i="38"/>
  <c r="W25" i="38"/>
  <c r="W13" i="38"/>
  <c r="W12" i="38"/>
  <c r="W63" i="38"/>
  <c r="W135" i="38"/>
  <c r="W159" i="38"/>
  <c r="W171" i="38"/>
  <c r="W262" i="38"/>
  <c r="W250" i="38"/>
  <c r="W238" i="38"/>
  <c r="W226" i="38"/>
  <c r="W214" i="38"/>
  <c r="W202" i="38"/>
  <c r="W190" i="38"/>
  <c r="W178" i="38"/>
  <c r="W166" i="38"/>
  <c r="W154" i="38"/>
  <c r="W142" i="38"/>
  <c r="W130" i="38"/>
  <c r="W118" i="38"/>
  <c r="W106" i="38"/>
  <c r="W94" i="38"/>
  <c r="W82" i="38"/>
  <c r="W70" i="38"/>
  <c r="W58" i="38"/>
  <c r="W46" i="38"/>
  <c r="W34" i="38"/>
  <c r="W22" i="38"/>
  <c r="W87" i="38"/>
  <c r="W207" i="38"/>
  <c r="W9" i="38"/>
  <c r="W75" i="38"/>
  <c r="W8" i="38"/>
  <c r="W147" i="38"/>
  <c r="W123" i="38"/>
  <c r="W195" i="38"/>
  <c r="W183" i="38"/>
  <c r="W127" i="38"/>
  <c r="W269" i="38"/>
  <c r="W257" i="38"/>
  <c r="W245" i="38"/>
  <c r="W233" i="38"/>
  <c r="W221" i="38"/>
  <c r="W209" i="38"/>
  <c r="W197" i="38"/>
  <c r="W185" i="38"/>
  <c r="W173" i="38"/>
  <c r="W161" i="38"/>
  <c r="W149" i="38"/>
  <c r="W137" i="38"/>
  <c r="W125" i="38"/>
  <c r="W113" i="38"/>
  <c r="W101" i="38"/>
  <c r="W89" i="38"/>
  <c r="W77" i="38"/>
  <c r="W65" i="38"/>
  <c r="W53" i="38"/>
  <c r="W41" i="38"/>
  <c r="W29" i="38"/>
  <c r="W17" i="38"/>
  <c r="W259" i="38"/>
  <c r="W247" i="38"/>
  <c r="W235" i="38"/>
  <c r="W223" i="38"/>
  <c r="W211" i="38"/>
  <c r="W199" i="38"/>
  <c r="W187" i="38"/>
  <c r="W175" i="38"/>
  <c r="W163" i="38"/>
  <c r="W151" i="38"/>
  <c r="W139" i="38"/>
  <c r="W115" i="38"/>
  <c r="W103" i="38"/>
  <c r="W91" i="38"/>
  <c r="W79" i="38"/>
  <c r="W67" i="38"/>
  <c r="W55" i="38"/>
  <c r="W43" i="38"/>
  <c r="W31" i="38"/>
  <c r="W19" i="38"/>
  <c r="W270" i="38"/>
  <c r="W258" i="38"/>
  <c r="W246" i="38"/>
  <c r="W234" i="38"/>
  <c r="W222" i="38"/>
  <c r="W210" i="38"/>
  <c r="W198" i="38"/>
  <c r="W186" i="38"/>
  <c r="W174" i="38"/>
  <c r="W162" i="38"/>
  <c r="W150" i="38"/>
  <c r="W138" i="38"/>
  <c r="W126" i="38"/>
  <c r="W114" i="38"/>
  <c r="W102" i="38"/>
  <c r="W90" i="38"/>
  <c r="W78" i="38"/>
  <c r="W66" i="38"/>
  <c r="W54" i="38"/>
  <c r="W42" i="38"/>
  <c r="W30" i="38"/>
  <c r="W4" i="38"/>
  <c r="M42" i="38"/>
  <c r="M59" i="38"/>
  <c r="M250" i="38"/>
  <c r="M174" i="38"/>
  <c r="M78" i="38"/>
  <c r="M21" i="38"/>
  <c r="M40" i="38"/>
  <c r="M58" i="38"/>
  <c r="M41" i="38"/>
  <c r="M228" i="38"/>
  <c r="M209" i="38"/>
  <c r="M132" i="38"/>
  <c r="M113" i="38"/>
  <c r="M36" i="38"/>
  <c r="M18" i="38"/>
  <c r="M263" i="38"/>
  <c r="M245" i="38"/>
  <c r="M16" i="38"/>
  <c r="M270" i="38"/>
  <c r="M252" i="38"/>
  <c r="M234" i="38"/>
  <c r="M138" i="38"/>
  <c r="M269" i="38"/>
  <c r="M251" i="38"/>
  <c r="M233" i="38"/>
  <c r="M214" i="38"/>
  <c r="M156" i="38"/>
  <c r="M137" i="38"/>
  <c r="M118" i="38"/>
  <c r="M60" i="38"/>
  <c r="M22" i="38"/>
  <c r="M268" i="38"/>
  <c r="M232" i="38"/>
  <c r="M155" i="38"/>
  <c r="M136" i="38"/>
  <c r="M267" i="38"/>
  <c r="M192" i="38"/>
  <c r="M173" i="38"/>
  <c r="M154" i="38"/>
  <c r="M96" i="38"/>
  <c r="M77" i="38"/>
  <c r="M191" i="38"/>
  <c r="M172" i="38"/>
  <c r="M76" i="38"/>
  <c r="M210" i="38"/>
  <c r="M114" i="38"/>
  <c r="M264" i="38"/>
  <c r="M246" i="38"/>
  <c r="M35" i="38"/>
  <c r="M17" i="38"/>
  <c r="M72" i="38"/>
  <c r="M262" i="38"/>
  <c r="M52" i="38"/>
  <c r="M243" i="38"/>
  <c r="M186" i="38"/>
  <c r="M90" i="38"/>
  <c r="M34" i="38"/>
  <c r="M204" i="38"/>
  <c r="M185" i="38"/>
  <c r="M166" i="38"/>
  <c r="M108" i="38"/>
  <c r="M89" i="38"/>
  <c r="M53" i="38"/>
  <c r="M12" i="38"/>
  <c r="M226" i="38"/>
  <c r="M71" i="38"/>
  <c r="M222" i="38"/>
  <c r="M126" i="38"/>
  <c r="M30" i="38"/>
  <c r="M11" i="38"/>
  <c r="M244" i="38"/>
  <c r="M258" i="38"/>
  <c r="M240" i="38"/>
  <c r="M221" i="38"/>
  <c r="M202" i="38"/>
  <c r="M144" i="38"/>
  <c r="M125" i="38"/>
  <c r="M106" i="38"/>
  <c r="M48" i="38"/>
  <c r="M29" i="38"/>
  <c r="M148" i="38"/>
  <c r="M257" i="38"/>
  <c r="M239" i="38"/>
  <c r="M220" i="38"/>
  <c r="M143" i="38"/>
  <c r="M124" i="38"/>
  <c r="M47" i="38"/>
  <c r="M28" i="38"/>
  <c r="M10" i="38"/>
  <c r="M256" i="38"/>
  <c r="M162" i="38"/>
  <c r="M66" i="38"/>
  <c r="M238" i="38"/>
  <c r="M180" i="38"/>
  <c r="M161" i="38"/>
  <c r="M142" i="38"/>
  <c r="M84" i="38"/>
  <c r="M65" i="38"/>
  <c r="M198" i="38"/>
  <c r="M102" i="38"/>
  <c r="M149" i="38"/>
  <c r="M168" i="38"/>
  <c r="M216" i="38"/>
  <c r="M197" i="38"/>
  <c r="M178" i="38"/>
  <c r="M120" i="38"/>
  <c r="M101" i="38"/>
  <c r="M24" i="38"/>
  <c r="M6" i="38"/>
  <c r="M5" i="38"/>
  <c r="M19" i="38"/>
  <c r="M91" i="38"/>
  <c r="M187" i="38"/>
  <c r="M259" i="38"/>
  <c r="M8" i="38"/>
  <c r="M68" i="38"/>
  <c r="M116" i="38"/>
  <c r="M140" i="38"/>
  <c r="M164" i="38"/>
  <c r="M188" i="38"/>
  <c r="M212" i="38"/>
  <c r="M236" i="38"/>
  <c r="M260" i="38"/>
  <c r="M7" i="38"/>
  <c r="M31" i="38"/>
  <c r="M43" i="38"/>
  <c r="M55" i="38"/>
  <c r="M67" i="38"/>
  <c r="M79" i="38"/>
  <c r="M103" i="38"/>
  <c r="M115" i="38"/>
  <c r="M127" i="38"/>
  <c r="M139" i="38"/>
  <c r="M151" i="38"/>
  <c r="M163" i="38"/>
  <c r="M175" i="38"/>
  <c r="M199" i="38"/>
  <c r="M211" i="38"/>
  <c r="M223" i="38"/>
  <c r="M235" i="38"/>
  <c r="M247" i="38"/>
  <c r="M271" i="38"/>
  <c r="M20" i="38"/>
  <c r="M32" i="38"/>
  <c r="M44" i="38"/>
  <c r="M56" i="38"/>
  <c r="M80" i="38"/>
  <c r="M92" i="38"/>
  <c r="M104" i="38"/>
  <c r="M128" i="38"/>
  <c r="M152" i="38"/>
  <c r="M176" i="38"/>
  <c r="M200" i="38"/>
  <c r="M224" i="38"/>
  <c r="M248" i="38"/>
  <c r="M272" i="38"/>
  <c r="M9" i="38"/>
  <c r="M33" i="38"/>
  <c r="M45" i="38"/>
  <c r="M57" i="38"/>
  <c r="M69" i="38"/>
  <c r="M81" i="38"/>
  <c r="M93" i="38"/>
  <c r="M105" i="38"/>
  <c r="M117" i="38"/>
  <c r="M129" i="38"/>
  <c r="M141" i="38"/>
  <c r="M153" i="38"/>
  <c r="M165" i="38"/>
  <c r="M177" i="38"/>
  <c r="M189" i="38"/>
  <c r="M201" i="38"/>
  <c r="M213" i="38"/>
  <c r="M225" i="38"/>
  <c r="M237" i="38"/>
  <c r="M249" i="38"/>
  <c r="M261" i="38"/>
  <c r="M273" i="38"/>
  <c r="M13" i="38"/>
  <c r="M25" i="38"/>
  <c r="M37" i="38"/>
  <c r="M49" i="38"/>
  <c r="M61" i="38"/>
  <c r="M73" i="38"/>
  <c r="M85" i="38"/>
  <c r="M97" i="38"/>
  <c r="M109" i="38"/>
  <c r="M121" i="38"/>
  <c r="M133" i="38"/>
  <c r="M145" i="38"/>
  <c r="M157" i="38"/>
  <c r="M169" i="38"/>
  <c r="M181" i="38"/>
  <c r="M193" i="38"/>
  <c r="M205" i="38"/>
  <c r="M217" i="38"/>
  <c r="M229" i="38"/>
  <c r="M241" i="38"/>
  <c r="M253" i="38"/>
  <c r="M265" i="38"/>
  <c r="M14" i="38"/>
  <c r="M26" i="38"/>
  <c r="M38" i="38"/>
  <c r="M50" i="38"/>
  <c r="M62" i="38"/>
  <c r="M74" i="38"/>
  <c r="M86" i="38"/>
  <c r="M98" i="38"/>
  <c r="M110" i="38"/>
  <c r="M122" i="38"/>
  <c r="M134" i="38"/>
  <c r="M146" i="38"/>
  <c r="M158" i="38"/>
  <c r="M170" i="38"/>
  <c r="M182" i="38"/>
  <c r="M194" i="38"/>
  <c r="M206" i="38"/>
  <c r="M218" i="38"/>
  <c r="M230" i="38"/>
  <c r="M242" i="38"/>
  <c r="M254" i="38"/>
  <c r="M266" i="38"/>
  <c r="M15" i="38"/>
  <c r="M27" i="38"/>
  <c r="M39" i="38"/>
  <c r="M51" i="38"/>
  <c r="M63" i="38"/>
  <c r="M75" i="38"/>
  <c r="M87" i="38"/>
  <c r="M99" i="38"/>
  <c r="M111" i="38"/>
  <c r="M123" i="38"/>
  <c r="M135" i="38"/>
  <c r="M147" i="38"/>
  <c r="M159" i="38"/>
  <c r="M171" i="38"/>
  <c r="M183" i="38"/>
  <c r="M195" i="38"/>
  <c r="M207" i="38"/>
  <c r="M219" i="38"/>
  <c r="M231" i="38"/>
  <c r="L4" i="38"/>
  <c r="M4" i="38" l="1"/>
  <c r="AG17" i="38"/>
  <c r="AW12" i="38" l="1"/>
  <c r="AS12" i="38"/>
  <c r="AR12" i="38"/>
  <c r="AW11" i="38"/>
  <c r="AS11" i="38"/>
  <c r="AR11" i="38"/>
  <c r="AW10" i="38"/>
  <c r="AS10" i="38"/>
  <c r="AR10" i="38"/>
  <c r="AW9" i="38"/>
  <c r="AS9" i="38"/>
  <c r="AR9" i="38"/>
  <c r="AW8" i="38"/>
  <c r="AS8" i="38"/>
  <c r="AR8" i="38"/>
  <c r="AW7" i="38"/>
  <c r="AS7" i="38"/>
  <c r="AR7" i="38"/>
  <c r="AW6" i="38"/>
  <c r="AS6" i="38"/>
  <c r="AR6" i="38"/>
  <c r="AW5" i="38"/>
  <c r="AS5" i="38"/>
  <c r="AR5" i="38"/>
  <c r="AW4" i="38"/>
  <c r="AS4" i="38"/>
  <c r="AR4" i="38"/>
  <c r="AV10" i="38"/>
  <c r="AT8" i="38"/>
  <c r="AV8" i="38" l="1"/>
  <c r="AU9" i="38"/>
  <c r="AJ19" i="38"/>
  <c r="AL24" i="38"/>
  <c r="AT5" i="38"/>
  <c r="AM11" i="38"/>
  <c r="AM25" i="38"/>
  <c r="AU5" i="38"/>
  <c r="AK17" i="38"/>
  <c r="AM19" i="38"/>
  <c r="AE24" i="38"/>
  <c r="AI17" i="38"/>
  <c r="AF19" i="38"/>
  <c r="AO4" i="38"/>
  <c r="AJ22" i="38"/>
  <c r="AT6" i="38"/>
  <c r="AV6" i="38"/>
  <c r="AL25" i="38"/>
  <c r="AN12" i="38"/>
  <c r="AM23" i="38"/>
  <c r="AI21" i="38"/>
  <c r="AU7" i="38"/>
  <c r="AE17" i="38"/>
  <c r="AL4" i="38"/>
  <c r="AT4" i="38"/>
  <c r="AV7" i="38"/>
  <c r="AF17" i="38"/>
  <c r="AV9" i="38"/>
  <c r="AG19" i="38"/>
  <c r="AT7" i="38"/>
  <c r="AU4" i="38"/>
  <c r="AI19" i="38"/>
  <c r="AM12" i="38"/>
  <c r="AQ4" i="38"/>
  <c r="AM4" i="38"/>
  <c r="AJ24" i="38"/>
  <c r="AV4" i="38"/>
  <c r="AH17" i="38"/>
  <c r="AJ23" i="38"/>
  <c r="AN7" i="38"/>
  <c r="AJ21" i="38"/>
  <c r="AV5" i="38"/>
  <c r="AU6" i="38"/>
  <c r="AL10" i="38"/>
  <c r="AN4" i="38"/>
  <c r="AK23" i="38"/>
  <c r="AU8" i="38"/>
  <c r="AL23" i="38"/>
  <c r="AJ17" i="38"/>
  <c r="AL19" i="38"/>
  <c r="AE22" i="38"/>
  <c r="AG24" i="38"/>
  <c r="AH19" i="38"/>
  <c r="AH24" i="38"/>
  <c r="AL17" i="38"/>
  <c r="AE20" i="38"/>
  <c r="AG22" i="38"/>
  <c r="AI24" i="38"/>
  <c r="AL12" i="38"/>
  <c r="AM17" i="38"/>
  <c r="AF20" i="38"/>
  <c r="AH22" i="38"/>
  <c r="AL11" i="38"/>
  <c r="AE18" i="38"/>
  <c r="AG20" i="38"/>
  <c r="AI22" i="38"/>
  <c r="AK24" i="38"/>
  <c r="AL21" i="38"/>
  <c r="AM21" i="38"/>
  <c r="AL9" i="38"/>
  <c r="AM10" i="38"/>
  <c r="AN11" i="38"/>
  <c r="AO12" i="38"/>
  <c r="AG18" i="38"/>
  <c r="AI20" i="38"/>
  <c r="AK22" i="38"/>
  <c r="AM24" i="38"/>
  <c r="AK21" i="38"/>
  <c r="AL8" i="38"/>
  <c r="AM9" i="38"/>
  <c r="AN10" i="38"/>
  <c r="AO11" i="38"/>
  <c r="AP12" i="38"/>
  <c r="AH18" i="38"/>
  <c r="AJ20" i="38"/>
  <c r="AL22" i="38"/>
  <c r="AE25" i="38"/>
  <c r="AK19" i="38"/>
  <c r="AF22" i="38"/>
  <c r="AL7" i="38"/>
  <c r="AN9" i="38"/>
  <c r="AO10" i="38"/>
  <c r="AP11" i="38"/>
  <c r="AQ12" i="38"/>
  <c r="AI18" i="38"/>
  <c r="AK20" i="38"/>
  <c r="AM22" i="38"/>
  <c r="AF25" i="38"/>
  <c r="AF18" i="38"/>
  <c r="AM8" i="38"/>
  <c r="AL6" i="38"/>
  <c r="AM7" i="38"/>
  <c r="AN8" i="38"/>
  <c r="AO9" i="38"/>
  <c r="AP10" i="38"/>
  <c r="AQ11" i="38"/>
  <c r="AJ18" i="38"/>
  <c r="AL20" i="38"/>
  <c r="AE23" i="38"/>
  <c r="AG25" i="38"/>
  <c r="AH20" i="38"/>
  <c r="AM6" i="38"/>
  <c r="AO8" i="38"/>
  <c r="AP9" i="38"/>
  <c r="AQ10" i="38"/>
  <c r="AK18" i="38"/>
  <c r="AM20" i="38"/>
  <c r="AF23" i="38"/>
  <c r="AH25" i="38"/>
  <c r="AL5" i="38"/>
  <c r="AM5" i="38"/>
  <c r="AN6" i="38"/>
  <c r="AO7" i="38"/>
  <c r="AP8" i="38"/>
  <c r="AQ9" i="38"/>
  <c r="AT12" i="38"/>
  <c r="AL18" i="38"/>
  <c r="AE21" i="38"/>
  <c r="AG23" i="38"/>
  <c r="AI25" i="38"/>
  <c r="AN5" i="38"/>
  <c r="AO6" i="38"/>
  <c r="AP7" i="38"/>
  <c r="AQ8" i="38"/>
  <c r="AT11" i="38"/>
  <c r="AU12" i="38"/>
  <c r="AM18" i="38"/>
  <c r="AF21" i="38"/>
  <c r="AH23" i="38"/>
  <c r="AJ25" i="38"/>
  <c r="AO5" i="38"/>
  <c r="AP6" i="38"/>
  <c r="AQ7" i="38"/>
  <c r="AT10" i="38"/>
  <c r="AU11" i="38"/>
  <c r="AV12" i="38"/>
  <c r="AE19" i="38"/>
  <c r="AG21" i="38"/>
  <c r="AI23" i="38"/>
  <c r="AK25" i="38"/>
  <c r="AF24" i="38"/>
  <c r="AP5" i="38"/>
  <c r="AQ6" i="38"/>
  <c r="AT9" i="38"/>
  <c r="AU10" i="38"/>
  <c r="AV11" i="38"/>
  <c r="AH21" i="38"/>
  <c r="AP4" i="38"/>
  <c r="AQ5" i="38"/>
  <c r="AU13" i="38" l="1"/>
  <c r="AT13" i="38"/>
  <c r="AV13" i="38"/>
  <c r="AW13" i="38"/>
  <c r="AT14" i="38" l="1"/>
  <c r="AK4" i="38" l="1"/>
  <c r="AK9" i="38"/>
  <c r="AK5" i="38"/>
  <c r="AK6" i="38"/>
  <c r="AK7" i="38"/>
  <c r="AK8" i="38"/>
  <c r="AK10" i="38"/>
  <c r="AK11" i="38"/>
  <c r="AK12" i="38"/>
  <c r="AQ13" i="38"/>
  <c r="AH13" i="38" l="1"/>
  <c r="AI13" i="38"/>
  <c r="AF13" i="38"/>
  <c r="AS13" i="38" l="1"/>
  <c r="AR13" i="38"/>
  <c r="AP13" i="38"/>
  <c r="AL26" i="38"/>
  <c r="AM13" i="38"/>
  <c r="AL13" i="38"/>
  <c r="AI26" i="38"/>
  <c r="AN13" i="38"/>
  <c r="AG26" i="38"/>
  <c r="AJ26" i="38"/>
  <c r="AE26" i="38"/>
  <c r="AM26" i="38"/>
  <c r="AF26" i="38"/>
  <c r="AO13" i="38"/>
  <c r="AH26" i="38"/>
  <c r="AK26" i="38"/>
  <c r="AP14" i="38" l="1"/>
  <c r="AE27" i="38"/>
  <c r="AL14" i="38"/>
  <c r="AJ13" i="38" l="1"/>
  <c r="Z23" i="38" l="1"/>
  <c r="Z20" i="38"/>
  <c r="Z21" i="38"/>
  <c r="Z17" i="38"/>
  <c r="Z19" i="38"/>
  <c r="Z22" i="38"/>
  <c r="Z16" i="38"/>
  <c r="Z15" i="38"/>
  <c r="Z18" i="38"/>
  <c r="Z14" i="38"/>
  <c r="Z26" i="38"/>
  <c r="Z10" i="38"/>
  <c r="Z31" i="38"/>
  <c r="Z11" i="38"/>
  <c r="Z8" i="38"/>
  <c r="Z24" i="38"/>
  <c r="Z6" i="38"/>
  <c r="Z36" i="38"/>
  <c r="Z33" i="38"/>
  <c r="Z7" i="38"/>
  <c r="Z13" i="38"/>
  <c r="Y42" i="38"/>
  <c r="Z12" i="38"/>
  <c r="Z25" i="38"/>
  <c r="Y40" i="38"/>
  <c r="Z32" i="38"/>
  <c r="Z5" i="38"/>
  <c r="Z27" i="38"/>
  <c r="Z30" i="38"/>
  <c r="Z28" i="38"/>
  <c r="Z29" i="38"/>
  <c r="Z35" i="38"/>
  <c r="Z9" i="38"/>
  <c r="Z34" i="38"/>
  <c r="AK13" i="38" l="1"/>
  <c r="AE13" i="38"/>
  <c r="AE14" i="38" s="1"/>
  <c r="AG13" i="38"/>
  <c r="AG14" i="38" s="1"/>
  <c r="Z37" i="38"/>
</calcChain>
</file>

<file path=xl/sharedStrings.xml><?xml version="1.0" encoding="utf-8"?>
<sst xmlns="http://schemas.openxmlformats.org/spreadsheetml/2006/main" count="1496" uniqueCount="322">
  <si>
    <t>번 호</t>
    <phoneticPr fontId="3" type="noConversion"/>
  </si>
  <si>
    <t>성 명</t>
    <phoneticPr fontId="3" type="noConversion"/>
  </si>
  <si>
    <t>총점</t>
    <phoneticPr fontId="3" type="noConversion"/>
  </si>
  <si>
    <t>누계표</t>
    <phoneticPr fontId="3" type="noConversion"/>
  </si>
  <si>
    <t>합계</t>
    <phoneticPr fontId="3" type="noConversion"/>
  </si>
  <si>
    <t>최고점</t>
    <phoneticPr fontId="3" type="noConversion"/>
  </si>
  <si>
    <t>최하점</t>
    <phoneticPr fontId="3" type="noConversion"/>
  </si>
  <si>
    <t>언수외
소 계</t>
    <phoneticPr fontId="3" type="noConversion"/>
  </si>
  <si>
    <t>언수외석 차</t>
    <phoneticPr fontId="3" type="noConversion"/>
  </si>
  <si>
    <t>등급</t>
    <phoneticPr fontId="3" type="noConversion"/>
  </si>
  <si>
    <t>등급</t>
  </si>
  <si>
    <t>최소</t>
  </si>
  <si>
    <t>김도현</t>
  </si>
  <si>
    <t>이준영</t>
  </si>
  <si>
    <t>김도훈</t>
  </si>
  <si>
    <t>신지원</t>
  </si>
  <si>
    <t>이예준</t>
  </si>
  <si>
    <t>최준영</t>
  </si>
  <si>
    <t>한국사</t>
    <phoneticPr fontId="3" type="noConversion"/>
  </si>
  <si>
    <t>반</t>
    <phoneticPr fontId="3" type="noConversion"/>
  </si>
  <si>
    <t>석차</t>
    <phoneticPr fontId="3" type="noConversion"/>
  </si>
  <si>
    <t>국어</t>
    <phoneticPr fontId="3" type="noConversion"/>
  </si>
  <si>
    <t>수학</t>
    <phoneticPr fontId="3" type="noConversion"/>
  </si>
  <si>
    <t>영어</t>
    <phoneticPr fontId="3" type="noConversion"/>
  </si>
  <si>
    <t>영어</t>
    <phoneticPr fontId="3" type="noConversion"/>
  </si>
  <si>
    <t>전국연합 예상 점수</t>
    <phoneticPr fontId="3" type="noConversion"/>
  </si>
  <si>
    <t>예상
등급</t>
    <phoneticPr fontId="3" type="noConversion"/>
  </si>
  <si>
    <t>김민서</t>
  </si>
  <si>
    <t>최영서</t>
  </si>
  <si>
    <t>김현서</t>
  </si>
  <si>
    <t>임재영</t>
  </si>
  <si>
    <t>고승우</t>
  </si>
  <si>
    <t>김건호</t>
  </si>
  <si>
    <t>김하민</t>
  </si>
  <si>
    <t>이건희</t>
  </si>
  <si>
    <t>130이하</t>
    <phoneticPr fontId="3" type="noConversion"/>
  </si>
  <si>
    <t>김태희</t>
  </si>
  <si>
    <t>탐구1</t>
    <phoneticPr fontId="3" type="noConversion"/>
  </si>
  <si>
    <t>탐구2</t>
    <phoneticPr fontId="3" type="noConversion"/>
  </si>
  <si>
    <t>한국지리</t>
  </si>
  <si>
    <t>생활과윤리</t>
  </si>
  <si>
    <t>사회문화</t>
  </si>
  <si>
    <t>세계사</t>
  </si>
  <si>
    <t>동아시아사</t>
  </si>
  <si>
    <t>세계지리</t>
  </si>
  <si>
    <t>경제</t>
  </si>
  <si>
    <t>정치와법</t>
  </si>
  <si>
    <t>화학I</t>
  </si>
  <si>
    <t>물리학I</t>
  </si>
  <si>
    <t>생명과학I</t>
  </si>
  <si>
    <t>지구과학I</t>
  </si>
  <si>
    <t>윤리와사상</t>
  </si>
  <si>
    <t>영어</t>
    <phoneticPr fontId="3" type="noConversion"/>
  </si>
  <si>
    <t>한국사</t>
    <phoneticPr fontId="3" type="noConversion"/>
  </si>
  <si>
    <t>등급</t>
    <phoneticPr fontId="3" type="noConversion"/>
  </si>
  <si>
    <t>예상등급</t>
    <phoneticPr fontId="3" type="noConversion"/>
  </si>
  <si>
    <t>응시자</t>
    <phoneticPr fontId="3" type="noConversion"/>
  </si>
  <si>
    <t>언어와매체</t>
  </si>
  <si>
    <t>화법과작문</t>
  </si>
  <si>
    <t>확률과통계</t>
  </si>
  <si>
    <t>미적분</t>
  </si>
  <si>
    <t>기하</t>
  </si>
  <si>
    <t>물리학I</t>
    <phoneticPr fontId="3" type="noConversion"/>
  </si>
  <si>
    <t>물리학II</t>
  </si>
  <si>
    <t>화학II</t>
  </si>
  <si>
    <t>생명과학II</t>
  </si>
  <si>
    <t>지구과학II</t>
  </si>
  <si>
    <t>물리학II</t>
    <phoneticPr fontId="3" type="noConversion"/>
  </si>
  <si>
    <t>화학II</t>
    <phoneticPr fontId="3" type="noConversion"/>
  </si>
  <si>
    <t>생명과학II</t>
    <phoneticPr fontId="3" type="noConversion"/>
  </si>
  <si>
    <t>지구과학II</t>
    <phoneticPr fontId="3" type="noConversion"/>
  </si>
  <si>
    <t>김민찬</t>
  </si>
  <si>
    <t>김태윤</t>
  </si>
  <si>
    <t>이신우</t>
  </si>
  <si>
    <t>김서연</t>
  </si>
  <si>
    <t>김승아</t>
  </si>
  <si>
    <t>장은진</t>
  </si>
  <si>
    <t>최수아</t>
  </si>
  <si>
    <t>김은혜</t>
  </si>
  <si>
    <t>김하은</t>
  </si>
  <si>
    <t>최혜린</t>
  </si>
  <si>
    <t>김지후</t>
  </si>
  <si>
    <t>정혜원</t>
  </si>
  <si>
    <t>한유빈</t>
  </si>
  <si>
    <t>실시일 : 2026.6.4.</t>
    <phoneticPr fontId="3" type="noConversion"/>
  </si>
  <si>
    <t>김건희</t>
  </si>
  <si>
    <t>이윤곤</t>
  </si>
  <si>
    <t>김지혁</t>
  </si>
  <si>
    <t>허중원</t>
  </si>
  <si>
    <t>김유정</t>
  </si>
  <si>
    <t>김준우</t>
  </si>
  <si>
    <t>최운채</t>
  </si>
  <si>
    <t>정세령</t>
  </si>
  <si>
    <t>성채이</t>
  </si>
  <si>
    <t>양서윤</t>
  </si>
  <si>
    <t>김한열</t>
  </si>
  <si>
    <t>양태건</t>
  </si>
  <si>
    <t>한건영</t>
  </si>
  <si>
    <t>김유진</t>
  </si>
  <si>
    <t>지은율</t>
  </si>
  <si>
    <t>강이재</t>
  </si>
  <si>
    <t>정가인</t>
  </si>
  <si>
    <t>구민아</t>
  </si>
  <si>
    <t>한세나</t>
  </si>
  <si>
    <t>이호찬</t>
  </si>
  <si>
    <t>조아영</t>
  </si>
  <si>
    <t>구태양</t>
  </si>
  <si>
    <t>소지빈</t>
  </si>
  <si>
    <t>권율</t>
  </si>
  <si>
    <t>김윤찬</t>
  </si>
  <si>
    <t>심승운</t>
  </si>
  <si>
    <t>나건우</t>
  </si>
  <si>
    <t>강혜정</t>
  </si>
  <si>
    <t>최수인</t>
  </si>
  <si>
    <t>장현수</t>
  </si>
  <si>
    <t>김유수</t>
  </si>
  <si>
    <t>정도선</t>
  </si>
  <si>
    <t>임지훈</t>
  </si>
  <si>
    <t>김도운</t>
  </si>
  <si>
    <t>김민지</t>
  </si>
  <si>
    <t>이시헌</t>
  </si>
  <si>
    <t>정한슬</t>
  </si>
  <si>
    <t>조한율</t>
  </si>
  <si>
    <t>박선아</t>
  </si>
  <si>
    <t>최현성</t>
  </si>
  <si>
    <t>박태규</t>
  </si>
  <si>
    <t>한승아</t>
  </si>
  <si>
    <t>형준원</t>
  </si>
  <si>
    <t>김지현</t>
  </si>
  <si>
    <t>노희주</t>
  </si>
  <si>
    <t>이지효</t>
  </si>
  <si>
    <t>한준영</t>
  </si>
  <si>
    <t>이병헌</t>
  </si>
  <si>
    <t>전다예</t>
  </si>
  <si>
    <t>이준현</t>
  </si>
  <si>
    <t>김연우</t>
  </si>
  <si>
    <t>양유나</t>
  </si>
  <si>
    <t>송세경</t>
  </si>
  <si>
    <t>조영인</t>
  </si>
  <si>
    <t>김재유</t>
  </si>
  <si>
    <t>정의성</t>
  </si>
  <si>
    <t>이다윤</t>
  </si>
  <si>
    <t>신동윤</t>
  </si>
  <si>
    <t>조영민</t>
  </si>
  <si>
    <t>양유정</t>
  </si>
  <si>
    <t>모규리</t>
  </si>
  <si>
    <t>문채희</t>
  </si>
  <si>
    <t>박혜윤</t>
  </si>
  <si>
    <t>최유나</t>
  </si>
  <si>
    <t>이은유</t>
  </si>
  <si>
    <t>신주영</t>
  </si>
  <si>
    <t>최시환</t>
  </si>
  <si>
    <t>하서윤</t>
  </si>
  <si>
    <t>김준희</t>
  </si>
  <si>
    <t>윤우현</t>
  </si>
  <si>
    <t>신민찬</t>
  </si>
  <si>
    <t>이혜원</t>
  </si>
  <si>
    <t>정하윤</t>
  </si>
  <si>
    <t>이도윤</t>
  </si>
  <si>
    <t>조여명</t>
  </si>
  <si>
    <t>최건희</t>
  </si>
  <si>
    <t>정연준</t>
  </si>
  <si>
    <t>진태규</t>
  </si>
  <si>
    <t>백지훈</t>
  </si>
  <si>
    <t>성민수</t>
  </si>
  <si>
    <t>배지훈</t>
  </si>
  <si>
    <t>전준호</t>
  </si>
  <si>
    <t>안도은</t>
  </si>
  <si>
    <t>배하람</t>
  </si>
  <si>
    <t>김준형</t>
  </si>
  <si>
    <t>이현성</t>
  </si>
  <si>
    <t>신주하</t>
  </si>
  <si>
    <t>이다인</t>
  </si>
  <si>
    <t>양다경</t>
  </si>
  <si>
    <t>심유나</t>
  </si>
  <si>
    <t>노지형</t>
  </si>
  <si>
    <t>임수윤</t>
  </si>
  <si>
    <t>정서희</t>
  </si>
  <si>
    <t>유건우</t>
  </si>
  <si>
    <t>박수경</t>
  </si>
  <si>
    <t>노한율</t>
  </si>
  <si>
    <t>양태율</t>
  </si>
  <si>
    <t>권성준</t>
  </si>
  <si>
    <t>장수진</t>
  </si>
  <si>
    <t>조유빈</t>
  </si>
  <si>
    <t>하윤서</t>
  </si>
  <si>
    <t>차선호</t>
  </si>
  <si>
    <t>최서정</t>
  </si>
  <si>
    <t>강유신</t>
  </si>
  <si>
    <t>진소희</t>
  </si>
  <si>
    <t>유건희</t>
  </si>
  <si>
    <t>김정훈</t>
  </si>
  <si>
    <t>박지원</t>
  </si>
  <si>
    <t>국희율</t>
  </si>
  <si>
    <t>정지후</t>
  </si>
  <si>
    <t>안인호</t>
  </si>
  <si>
    <t>최지호</t>
  </si>
  <si>
    <t>이다은</t>
  </si>
  <si>
    <t>한동윤</t>
  </si>
  <si>
    <t>양동건</t>
  </si>
  <si>
    <t>이우진</t>
  </si>
  <si>
    <t>정하경</t>
  </si>
  <si>
    <t>김태욱</t>
  </si>
  <si>
    <t>선희윤</t>
  </si>
  <si>
    <t>임아현</t>
  </si>
  <si>
    <t>한윤슬</t>
  </si>
  <si>
    <t>하정우</t>
  </si>
  <si>
    <t>곽하율</t>
  </si>
  <si>
    <t>오채은</t>
  </si>
  <si>
    <t>이서준</t>
  </si>
  <si>
    <t>김형찬</t>
  </si>
  <si>
    <t>김연이</t>
  </si>
  <si>
    <t>이라온</t>
  </si>
  <si>
    <t>김가연</t>
  </si>
  <si>
    <t>최윤서</t>
  </si>
  <si>
    <t>강동이</t>
  </si>
  <si>
    <t>허가윤</t>
  </si>
  <si>
    <t>김해린</t>
  </si>
  <si>
    <t>박라희</t>
  </si>
  <si>
    <t>한승우</t>
  </si>
  <si>
    <t>한재욱</t>
  </si>
  <si>
    <t>이주한</t>
  </si>
  <si>
    <t>장도현</t>
  </si>
  <si>
    <t>김수연</t>
  </si>
  <si>
    <t>채린</t>
  </si>
  <si>
    <t>황지우</t>
  </si>
  <si>
    <t>강지윤</t>
  </si>
  <si>
    <t>이주영</t>
  </si>
  <si>
    <t>유서연</t>
  </si>
  <si>
    <t>온유</t>
  </si>
  <si>
    <t>정예린</t>
  </si>
  <si>
    <t>성진우</t>
  </si>
  <si>
    <t>최은우</t>
  </si>
  <si>
    <t>배수빈</t>
  </si>
  <si>
    <t>김하울</t>
  </si>
  <si>
    <t>임주완</t>
  </si>
  <si>
    <t>정석현</t>
  </si>
  <si>
    <t>신동욱</t>
  </si>
  <si>
    <t>이태희</t>
  </si>
  <si>
    <t>홍승안</t>
  </si>
  <si>
    <t>최정수</t>
  </si>
  <si>
    <t>박시은</t>
  </si>
  <si>
    <t>임주미</t>
  </si>
  <si>
    <t>김하랑</t>
  </si>
  <si>
    <t>최석진</t>
  </si>
  <si>
    <t>김윤건</t>
  </si>
  <si>
    <t>오선민</t>
  </si>
  <si>
    <t>박준영</t>
  </si>
  <si>
    <t>임범술</t>
  </si>
  <si>
    <t>송시은</t>
  </si>
  <si>
    <t>선해민</t>
  </si>
  <si>
    <t>김윤주</t>
  </si>
  <si>
    <t>김륜환</t>
  </si>
  <si>
    <t>김다희</t>
  </si>
  <si>
    <t>나형준</t>
  </si>
  <si>
    <t>전근우</t>
  </si>
  <si>
    <t>윤민혁</t>
  </si>
  <si>
    <t>윤정민</t>
  </si>
  <si>
    <t>신비</t>
  </si>
  <si>
    <t>최주원</t>
  </si>
  <si>
    <t>지서린</t>
  </si>
  <si>
    <t>정유진</t>
  </si>
  <si>
    <t>한혜린</t>
  </si>
  <si>
    <t>최재우</t>
  </si>
  <si>
    <t>최지원</t>
  </si>
  <si>
    <t>이누리</t>
  </si>
  <si>
    <t>조성훈</t>
  </si>
  <si>
    <t>황민서</t>
  </si>
  <si>
    <t>김도이</t>
  </si>
  <si>
    <t>하승우</t>
  </si>
  <si>
    <t>최아인</t>
  </si>
  <si>
    <t>송도협</t>
  </si>
  <si>
    <t>정효민</t>
  </si>
  <si>
    <t>이민진</t>
  </si>
  <si>
    <t>김윤서</t>
  </si>
  <si>
    <t>유태훈</t>
  </si>
  <si>
    <t>고은서</t>
  </si>
  <si>
    <t>최현영</t>
  </si>
  <si>
    <t>박인석</t>
  </si>
  <si>
    <t>최수민</t>
  </si>
  <si>
    <t>윤소이</t>
  </si>
  <si>
    <t>장세린</t>
  </si>
  <si>
    <t>장승호</t>
  </si>
  <si>
    <t>이도현</t>
  </si>
  <si>
    <t>임세경</t>
  </si>
  <si>
    <t>박서영</t>
  </si>
  <si>
    <t>이시우</t>
  </si>
  <si>
    <t>한나연</t>
  </si>
  <si>
    <t>홍예은</t>
  </si>
  <si>
    <t>조은상</t>
  </si>
  <si>
    <t>박건희</t>
  </si>
  <si>
    <t>이정후</t>
  </si>
  <si>
    <t>조찬형</t>
  </si>
  <si>
    <t>유채아</t>
  </si>
  <si>
    <t>허도겸</t>
  </si>
  <si>
    <t>김수아</t>
  </si>
  <si>
    <t>배서진</t>
  </si>
  <si>
    <t>김하나</t>
  </si>
  <si>
    <t>윤지우</t>
  </si>
  <si>
    <t>고유주</t>
  </si>
  <si>
    <t>백호</t>
  </si>
  <si>
    <t>허준혁</t>
  </si>
  <si>
    <t>이주원</t>
  </si>
  <si>
    <t>정선경</t>
  </si>
  <si>
    <t>허진혁</t>
  </si>
  <si>
    <t>김한솔</t>
  </si>
  <si>
    <t>박다은</t>
  </si>
  <si>
    <t>남예진</t>
  </si>
  <si>
    <t>유영국</t>
  </si>
  <si>
    <t>정은빈</t>
  </si>
  <si>
    <t>권보민</t>
  </si>
  <si>
    <t>장성우</t>
  </si>
  <si>
    <t>장은주</t>
  </si>
  <si>
    <t>박효린</t>
  </si>
  <si>
    <t>이시원</t>
  </si>
  <si>
    <t>주하랑</t>
  </si>
  <si>
    <t>장혁</t>
  </si>
  <si>
    <t>송시현</t>
  </si>
  <si>
    <t>공통국어</t>
    <phoneticPr fontId="3" type="noConversion"/>
  </si>
  <si>
    <t>공통수학</t>
    <phoneticPr fontId="3" type="noConversion"/>
  </si>
  <si>
    <t>통합사회</t>
    <phoneticPr fontId="3" type="noConversion"/>
  </si>
  <si>
    <t>통합과학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</si>
</sst>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"/>
    <numFmt numFmtId="177" formatCode="0.0_ "/>
    <numFmt numFmtId="178" formatCode="#,##0_ "/>
    <numFmt numFmtId="179" formatCode="\3&quot;월&quot;\ &quot;전&quot;&quot;국&quot;&quot;연&quot;&quot;합&quot;\ \3&quot;학&quot;&quot;년&quot;\ 0#&quot;반&quot;"/>
  </numFmts>
  <fonts count="21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굴림"/>
      <family val="3"/>
      <charset val="129"/>
    </font>
    <font>
      <sz val="11"/>
      <name val="굴림"/>
      <family val="3"/>
      <charset val="129"/>
    </font>
    <font>
      <b/>
      <sz val="20"/>
      <name val="굴림"/>
      <family val="3"/>
      <charset val="129"/>
    </font>
    <font>
      <b/>
      <sz val="14"/>
      <name val="굴림"/>
      <family val="3"/>
      <charset val="129"/>
    </font>
    <font>
      <b/>
      <sz val="12"/>
      <name val="굴림"/>
      <family val="3"/>
      <charset val="129"/>
    </font>
    <font>
      <b/>
      <sz val="12"/>
      <color indexed="52"/>
      <name val="굴림"/>
      <family val="3"/>
      <charset val="129"/>
    </font>
    <font>
      <b/>
      <sz val="12"/>
      <color indexed="48"/>
      <name val="굴림"/>
      <family val="3"/>
      <charset val="129"/>
    </font>
    <font>
      <b/>
      <sz val="16"/>
      <name val="굴림"/>
      <family val="3"/>
      <charset val="129"/>
    </font>
    <font>
      <sz val="12"/>
      <name val="돋움"/>
      <family val="3"/>
      <charset val="129"/>
    </font>
    <font>
      <b/>
      <sz val="10"/>
      <color indexed="63"/>
      <name val="돋움"/>
      <family val="3"/>
      <charset val="129"/>
    </font>
    <font>
      <b/>
      <sz val="10"/>
      <name val="돋움"/>
      <family val="3"/>
      <charset val="129"/>
    </font>
    <font>
      <b/>
      <sz val="10"/>
      <name val="굴림"/>
      <family val="3"/>
      <charset val="129"/>
    </font>
    <font>
      <sz val="11"/>
      <name val="돋움"/>
      <family val="3"/>
    </font>
    <font>
      <b/>
      <sz val="9"/>
      <color rgb="FF244798"/>
      <name val="Arial"/>
      <family val="2"/>
    </font>
    <font>
      <sz val="11"/>
      <color rgb="FF006100"/>
      <name val="맑은 고딕"/>
      <family val="2"/>
      <charset val="129"/>
      <scheme val="minor"/>
    </font>
    <font>
      <sz val="11"/>
      <color rgb="FF000000"/>
      <name val="Calibri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16" fillId="0" borderId="0"/>
    <xf numFmtId="0" fontId="1" fillId="0" borderId="0">
      <alignment vertical="center"/>
    </xf>
    <xf numFmtId="0" fontId="18" fillId="8" borderId="0" applyNumberFormat="0" applyBorder="0" applyAlignment="0" applyProtection="0">
      <alignment vertical="center"/>
    </xf>
  </cellStyleXfs>
  <cellXfs count="169">
    <xf numFmtId="0" fontId="0" fillId="0" borderId="0" xfId="0">
      <alignment vertical="center"/>
    </xf>
    <xf numFmtId="0" fontId="5" fillId="0" borderId="0" xfId="0" applyFont="1">
      <alignment vertical="center"/>
    </xf>
    <xf numFmtId="0" fontId="8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12" fillId="0" borderId="0" xfId="0" applyFont="1">
      <alignment vertical="center"/>
    </xf>
    <xf numFmtId="179" fontId="6" fillId="0" borderId="0" xfId="0" applyNumberFormat="1" applyFont="1" applyBorder="1" applyAlignment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 vertical="center" shrinkToFit="1"/>
    </xf>
    <xf numFmtId="0" fontId="0" fillId="5" borderId="0" xfId="0" applyFill="1">
      <alignment vertical="center"/>
    </xf>
    <xf numFmtId="178" fontId="4" fillId="0" borderId="0" xfId="0" applyNumberFormat="1" applyFont="1" applyBorder="1" applyAlignment="1">
      <alignment vertical="center" wrapText="1"/>
    </xf>
    <xf numFmtId="0" fontId="12" fillId="5" borderId="0" xfId="0" applyFont="1" applyFill="1">
      <alignment vertical="center"/>
    </xf>
    <xf numFmtId="0" fontId="14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17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vertical="center" shrinkToFi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16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176" fontId="4" fillId="5" borderId="4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176" fontId="4" fillId="5" borderId="17" xfId="0" applyNumberFormat="1" applyFont="1" applyFill="1" applyBorder="1" applyAlignment="1">
      <alignment horizontal="center" vertical="center" wrapText="1"/>
    </xf>
    <xf numFmtId="176" fontId="4" fillId="5" borderId="16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shrinkToFit="1"/>
    </xf>
    <xf numFmtId="0" fontId="4" fillId="7" borderId="5" xfId="0" applyFont="1" applyFill="1" applyBorder="1" applyAlignment="1">
      <alignment vertical="center" shrinkToFit="1"/>
    </xf>
    <xf numFmtId="176" fontId="4" fillId="7" borderId="17" xfId="0" applyNumberFormat="1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center" vertical="center" shrinkToFit="1"/>
    </xf>
    <xf numFmtId="0" fontId="5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12" fillId="5" borderId="27" xfId="0" applyFont="1" applyFill="1" applyBorder="1" applyAlignment="1">
      <alignment vertical="center"/>
    </xf>
    <xf numFmtId="0" fontId="12" fillId="5" borderId="0" xfId="0" applyFont="1" applyFill="1" applyBorder="1" applyAlignment="1">
      <alignment vertical="center"/>
    </xf>
    <xf numFmtId="0" fontId="4" fillId="0" borderId="3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7" xfId="0" applyFont="1" applyBorder="1" applyAlignment="1">
      <alignment horizontal="right" vertical="center"/>
    </xf>
    <xf numFmtId="0" fontId="4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8" xfId="0" applyFont="1" applyBorder="1" applyAlignment="1">
      <alignment horizontal="right" vertical="center"/>
    </xf>
    <xf numFmtId="0" fontId="13" fillId="5" borderId="6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4" fillId="5" borderId="0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49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shrinkToFit="1"/>
    </xf>
    <xf numFmtId="0" fontId="4" fillId="0" borderId="20" xfId="0" applyFont="1" applyBorder="1" applyAlignment="1">
      <alignment horizontal="right" vertical="center"/>
    </xf>
    <xf numFmtId="0" fontId="4" fillId="0" borderId="50" xfId="0" applyFont="1" applyBorder="1" applyAlignment="1">
      <alignment horizontal="left" vertical="center"/>
    </xf>
    <xf numFmtId="0" fontId="4" fillId="0" borderId="42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 shrinkToFit="1"/>
    </xf>
    <xf numFmtId="0" fontId="5" fillId="0" borderId="37" xfId="0" applyFont="1" applyBorder="1" applyAlignment="1">
      <alignment horizontal="center" vertical="center" shrinkToFit="1"/>
    </xf>
    <xf numFmtId="177" fontId="12" fillId="5" borderId="14" xfId="0" applyNumberFormat="1" applyFont="1" applyFill="1" applyBorder="1" applyAlignment="1">
      <alignment horizontal="center" vertical="center" shrinkToFit="1"/>
    </xf>
    <xf numFmtId="0" fontId="4" fillId="0" borderId="37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15" fillId="5" borderId="34" xfId="0" applyFont="1" applyFill="1" applyBorder="1" applyAlignment="1">
      <alignment horizontal="center" vertical="center" wrapText="1"/>
    </xf>
    <xf numFmtId="0" fontId="5" fillId="5" borderId="34" xfId="0" applyFont="1" applyFill="1" applyBorder="1" applyAlignment="1">
      <alignment horizontal="center" vertical="center" shrinkToFi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35" xfId="0" applyFont="1" applyFill="1" applyBorder="1" applyAlignment="1">
      <alignment horizontal="center" vertical="center" shrinkToFit="1"/>
    </xf>
    <xf numFmtId="0" fontId="5" fillId="5" borderId="51" xfId="0" applyFont="1" applyFill="1" applyBorder="1" applyAlignment="1">
      <alignment horizontal="center" vertical="center" shrinkToFit="1"/>
    </xf>
    <xf numFmtId="0" fontId="4" fillId="0" borderId="2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shrinkToFit="1"/>
    </xf>
    <xf numFmtId="0" fontId="5" fillId="5" borderId="0" xfId="0" applyFont="1" applyFill="1">
      <alignment vertical="center"/>
    </xf>
    <xf numFmtId="0" fontId="11" fillId="0" borderId="0" xfId="0" applyFont="1" applyBorder="1" applyAlignment="1">
      <alignment horizontal="center" vertical="center" shrinkToFit="1"/>
    </xf>
    <xf numFmtId="0" fontId="4" fillId="0" borderId="48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76" fontId="4" fillId="3" borderId="2" xfId="0" applyNumberFormat="1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5" fillId="5" borderId="35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/>
    </xf>
    <xf numFmtId="0" fontId="5" fillId="8" borderId="4" xfId="3" applyFont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19" fillId="0" borderId="58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79" fontId="6" fillId="0" borderId="0" xfId="0" applyNumberFormat="1" applyFont="1" applyBorder="1" applyAlignment="1">
      <alignment horizontal="center"/>
    </xf>
    <xf numFmtId="0" fontId="13" fillId="5" borderId="26" xfId="0" applyFont="1" applyFill="1" applyBorder="1" applyAlignment="1">
      <alignment horizontal="center" vertical="center" wrapText="1"/>
    </xf>
    <xf numFmtId="0" fontId="13" fillId="5" borderId="28" xfId="0" applyFont="1" applyFill="1" applyBorder="1" applyAlignment="1">
      <alignment horizontal="center" vertical="center" wrapText="1"/>
    </xf>
    <xf numFmtId="0" fontId="13" fillId="5" borderId="29" xfId="0" applyFont="1" applyFill="1" applyBorder="1" applyAlignment="1">
      <alignment horizontal="center" vertical="center" wrapText="1"/>
    </xf>
    <xf numFmtId="0" fontId="13" fillId="5" borderId="30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42" xfId="0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horizontal="center" vertical="center" wrapText="1"/>
    </xf>
    <xf numFmtId="0" fontId="13" fillId="5" borderId="4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178" fontId="10" fillId="0" borderId="44" xfId="0" applyNumberFormat="1" applyFont="1" applyFill="1" applyBorder="1" applyAlignment="1">
      <alignment horizontal="center" vertical="center" wrapText="1"/>
    </xf>
    <xf numFmtId="178" fontId="10" fillId="0" borderId="33" xfId="0" applyNumberFormat="1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14" fontId="7" fillId="0" borderId="0" xfId="0" applyNumberFormat="1" applyFont="1" applyBorder="1" applyAlignment="1">
      <alignment vertical="center" shrinkToFit="1"/>
    </xf>
    <xf numFmtId="178" fontId="9" fillId="0" borderId="44" xfId="0" applyNumberFormat="1" applyFont="1" applyFill="1" applyBorder="1" applyAlignment="1">
      <alignment horizontal="center" vertical="center" wrapText="1"/>
    </xf>
    <xf numFmtId="178" fontId="9" fillId="0" borderId="33" xfId="0" applyNumberFormat="1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</cellXfs>
  <cellStyles count="4">
    <cellStyle name="좋음" xfId="3" builtinId="26"/>
    <cellStyle name="표준" xfId="0" builtinId="0"/>
    <cellStyle name="표준 2" xfId="2" xr:uid="{00000000-0005-0000-0000-000001000000}"/>
    <cellStyle name="표준 6" xfId="1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rogram%20Files\ActivePost%20G-Suite\Down\&#51088;&#47308;&#52629;&#526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문"/>
      <sheetName val="자연"/>
      <sheetName val="자연 순위"/>
      <sheetName val="인문 순위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250"/>
  <sheetViews>
    <sheetView zoomScaleNormal="100" workbookViewId="0">
      <selection activeCell="A10" sqref="A10"/>
    </sheetView>
  </sheetViews>
  <sheetFormatPr defaultRowHeight="14.15" x14ac:dyDescent="0.3"/>
  <cols>
    <col min="1" max="2" width="5.796875" style="12" customWidth="1"/>
    <col min="3" max="3" width="1.796875" style="12" customWidth="1"/>
    <col min="4" max="5" width="5.796875" customWidth="1"/>
    <col min="6" max="6" width="1.796875" customWidth="1"/>
    <col min="7" max="8" width="5.796875" customWidth="1"/>
    <col min="9" max="9" width="1.796875" customWidth="1"/>
    <col min="10" max="11" width="5.796875" customWidth="1"/>
    <col min="12" max="12" width="1.796875" customWidth="1"/>
    <col min="13" max="14" width="5.796875" customWidth="1"/>
    <col min="15" max="15" width="1.796875" customWidth="1"/>
    <col min="16" max="17" width="5.796875" customWidth="1"/>
    <col min="18" max="18" width="1.796875" customWidth="1"/>
    <col min="19" max="20" width="5.796875" customWidth="1"/>
    <col min="21" max="21" width="1.796875" customWidth="1"/>
    <col min="22" max="23" width="5.796875" customWidth="1"/>
    <col min="24" max="24" width="1.796875" customWidth="1"/>
    <col min="25" max="26" width="5.796875" customWidth="1"/>
    <col min="27" max="27" width="1.796875" customWidth="1"/>
    <col min="28" max="29" width="5.796875" customWidth="1"/>
    <col min="30" max="30" width="1.796875" customWidth="1"/>
    <col min="31" max="32" width="5.796875" customWidth="1"/>
    <col min="33" max="33" width="1.796875" customWidth="1"/>
    <col min="34" max="35" width="5.796875" customWidth="1"/>
    <col min="36" max="36" width="1.796875" customWidth="1"/>
    <col min="37" max="38" width="5.796875" customWidth="1"/>
    <col min="39" max="39" width="1.796875" customWidth="1"/>
    <col min="40" max="41" width="5.796875" customWidth="1"/>
    <col min="42" max="42" width="1.796875" customWidth="1"/>
    <col min="43" max="44" width="5.796875" customWidth="1"/>
  </cols>
  <sheetData>
    <row r="1" spans="1:44" s="14" customFormat="1" ht="18" customHeight="1" x14ac:dyDescent="0.3">
      <c r="A1" s="134" t="s">
        <v>58</v>
      </c>
      <c r="B1" s="135"/>
      <c r="C1" s="46"/>
      <c r="D1" s="134" t="s">
        <v>24</v>
      </c>
      <c r="E1" s="135"/>
      <c r="G1" s="134" t="s">
        <v>40</v>
      </c>
      <c r="H1" s="135"/>
      <c r="I1" s="57"/>
      <c r="J1" s="134" t="s">
        <v>51</v>
      </c>
      <c r="K1" s="135"/>
      <c r="L1" s="57"/>
      <c r="M1" s="134" t="s">
        <v>44</v>
      </c>
      <c r="N1" s="135"/>
      <c r="O1" s="57"/>
      <c r="P1" s="134" t="s">
        <v>39</v>
      </c>
      <c r="Q1" s="135"/>
      <c r="S1" s="134" t="s">
        <v>42</v>
      </c>
      <c r="T1" s="135"/>
      <c r="V1" s="134" t="s">
        <v>43</v>
      </c>
      <c r="W1" s="135"/>
      <c r="Y1" s="134" t="s">
        <v>46</v>
      </c>
      <c r="Z1" s="135"/>
      <c r="AB1" s="134" t="s">
        <v>45</v>
      </c>
      <c r="AC1" s="135"/>
      <c r="AE1" s="134" t="s">
        <v>41</v>
      </c>
      <c r="AF1" s="135"/>
      <c r="AH1" s="134" t="s">
        <v>48</v>
      </c>
      <c r="AI1" s="135"/>
      <c r="AK1" s="134" t="s">
        <v>47</v>
      </c>
      <c r="AL1" s="135"/>
      <c r="AN1" s="134" t="s">
        <v>49</v>
      </c>
      <c r="AO1" s="135"/>
      <c r="AQ1" s="134" t="s">
        <v>50</v>
      </c>
      <c r="AR1" s="135"/>
    </row>
    <row r="2" spans="1:44" s="14" customFormat="1" ht="18" customHeight="1" thickBot="1" x14ac:dyDescent="0.35">
      <c r="A2" s="136"/>
      <c r="B2" s="137"/>
      <c r="C2" s="47"/>
      <c r="D2" s="136"/>
      <c r="E2" s="137"/>
      <c r="G2" s="136"/>
      <c r="H2" s="137"/>
      <c r="I2" s="57"/>
      <c r="J2" s="136"/>
      <c r="K2" s="137"/>
      <c r="L2" s="57"/>
      <c r="M2" s="136"/>
      <c r="N2" s="137"/>
      <c r="O2" s="57"/>
      <c r="P2" s="136"/>
      <c r="Q2" s="137"/>
      <c r="S2" s="136"/>
      <c r="T2" s="137"/>
      <c r="V2" s="136"/>
      <c r="W2" s="137"/>
      <c r="Y2" s="136"/>
      <c r="Z2" s="137"/>
      <c r="AB2" s="136"/>
      <c r="AC2" s="137"/>
      <c r="AE2" s="136"/>
      <c r="AF2" s="137"/>
      <c r="AH2" s="136"/>
      <c r="AI2" s="137"/>
      <c r="AK2" s="136"/>
      <c r="AL2" s="137"/>
      <c r="AN2" s="136"/>
      <c r="AO2" s="137"/>
      <c r="AQ2" s="136"/>
      <c r="AR2" s="137"/>
    </row>
    <row r="3" spans="1:44" s="7" customFormat="1" ht="18" customHeight="1" x14ac:dyDescent="0.3">
      <c r="A3" s="138" t="s">
        <v>11</v>
      </c>
      <c r="B3" s="140" t="s">
        <v>10</v>
      </c>
      <c r="C3" s="47"/>
      <c r="D3" s="138" t="s">
        <v>11</v>
      </c>
      <c r="E3" s="140" t="s">
        <v>10</v>
      </c>
      <c r="G3" s="138" t="s">
        <v>11</v>
      </c>
      <c r="H3" s="140" t="s">
        <v>10</v>
      </c>
      <c r="I3" s="57"/>
      <c r="J3" s="138" t="s">
        <v>11</v>
      </c>
      <c r="K3" s="140" t="s">
        <v>10</v>
      </c>
      <c r="L3" s="57"/>
      <c r="M3" s="138" t="s">
        <v>11</v>
      </c>
      <c r="N3" s="140" t="s">
        <v>10</v>
      </c>
      <c r="O3" s="57"/>
      <c r="P3" s="138" t="s">
        <v>11</v>
      </c>
      <c r="Q3" s="140" t="s">
        <v>10</v>
      </c>
      <c r="S3" s="138" t="s">
        <v>11</v>
      </c>
      <c r="T3" s="140" t="s">
        <v>10</v>
      </c>
      <c r="V3" s="138" t="s">
        <v>11</v>
      </c>
      <c r="W3" s="140" t="s">
        <v>10</v>
      </c>
      <c r="X3" s="58"/>
      <c r="Y3" s="138" t="s">
        <v>11</v>
      </c>
      <c r="Z3" s="140" t="s">
        <v>10</v>
      </c>
      <c r="AB3" s="138" t="s">
        <v>11</v>
      </c>
      <c r="AC3" s="140" t="s">
        <v>10</v>
      </c>
      <c r="AE3" s="138" t="s">
        <v>11</v>
      </c>
      <c r="AF3" s="140" t="s">
        <v>10</v>
      </c>
      <c r="AH3" s="138" t="s">
        <v>11</v>
      </c>
      <c r="AI3" s="140" t="s">
        <v>10</v>
      </c>
      <c r="AJ3" s="58"/>
      <c r="AK3" s="138" t="s">
        <v>11</v>
      </c>
      <c r="AL3" s="140" t="s">
        <v>10</v>
      </c>
      <c r="AN3" s="138" t="s">
        <v>11</v>
      </c>
      <c r="AO3" s="140" t="s">
        <v>10</v>
      </c>
      <c r="AQ3" s="138" t="s">
        <v>11</v>
      </c>
      <c r="AR3" s="140" t="s">
        <v>10</v>
      </c>
    </row>
    <row r="4" spans="1:44" s="7" customFormat="1" ht="18" customHeight="1" thickBot="1" x14ac:dyDescent="0.35">
      <c r="A4" s="139"/>
      <c r="B4" s="141"/>
      <c r="C4" s="47"/>
      <c r="D4" s="142"/>
      <c r="E4" s="143"/>
      <c r="G4" s="139"/>
      <c r="H4" s="141"/>
      <c r="I4" s="57"/>
      <c r="J4" s="139"/>
      <c r="K4" s="141"/>
      <c r="L4" s="57"/>
      <c r="M4" s="139"/>
      <c r="N4" s="141"/>
      <c r="O4" s="57"/>
      <c r="P4" s="139"/>
      <c r="Q4" s="141"/>
      <c r="S4" s="139"/>
      <c r="T4" s="141"/>
      <c r="V4" s="139"/>
      <c r="W4" s="141"/>
      <c r="Y4" s="139"/>
      <c r="Z4" s="141"/>
      <c r="AB4" s="139"/>
      <c r="AC4" s="141"/>
      <c r="AE4" s="139"/>
      <c r="AF4" s="141"/>
      <c r="AH4" s="139"/>
      <c r="AI4" s="141"/>
      <c r="AK4" s="139"/>
      <c r="AL4" s="141"/>
      <c r="AN4" s="139"/>
      <c r="AO4" s="141"/>
      <c r="AQ4" s="139"/>
      <c r="AR4" s="141"/>
    </row>
    <row r="5" spans="1:44" s="7" customFormat="1" ht="18" customHeight="1" x14ac:dyDescent="0.3">
      <c r="A5" s="54">
        <v>0</v>
      </c>
      <c r="B5" s="32">
        <v>9</v>
      </c>
      <c r="C5" s="47"/>
      <c r="D5" s="20">
        <v>10</v>
      </c>
      <c r="E5" s="21">
        <v>9</v>
      </c>
      <c r="G5" s="54">
        <v>0</v>
      </c>
      <c r="H5" s="32">
        <v>9</v>
      </c>
      <c r="I5" s="59"/>
      <c r="J5" s="54">
        <v>0</v>
      </c>
      <c r="K5" s="32">
        <v>9</v>
      </c>
      <c r="L5" s="59"/>
      <c r="M5" s="54">
        <v>0</v>
      </c>
      <c r="N5" s="32">
        <v>9</v>
      </c>
      <c r="O5" s="59"/>
      <c r="P5" s="54">
        <v>0</v>
      </c>
      <c r="Q5" s="32">
        <v>9</v>
      </c>
      <c r="S5" s="100">
        <v>0</v>
      </c>
      <c r="T5" s="32">
        <v>9</v>
      </c>
      <c r="V5" s="54">
        <v>0</v>
      </c>
      <c r="W5" s="32">
        <v>9</v>
      </c>
      <c r="Y5" s="54">
        <v>0</v>
      </c>
      <c r="Z5" s="32">
        <v>9</v>
      </c>
      <c r="AB5" s="54">
        <v>0</v>
      </c>
      <c r="AC5" s="32">
        <v>9</v>
      </c>
      <c r="AE5" s="54">
        <v>0</v>
      </c>
      <c r="AF5" s="32">
        <v>9</v>
      </c>
      <c r="AH5" s="54">
        <v>0</v>
      </c>
      <c r="AI5" s="32">
        <v>9</v>
      </c>
      <c r="AK5" s="54">
        <v>0</v>
      </c>
      <c r="AL5" s="32">
        <v>9</v>
      </c>
      <c r="AN5" s="54">
        <v>0</v>
      </c>
      <c r="AO5" s="32">
        <v>9</v>
      </c>
      <c r="AQ5" s="54">
        <v>0</v>
      </c>
      <c r="AR5" s="32">
        <v>9</v>
      </c>
    </row>
    <row r="6" spans="1:44" s="7" customFormat="1" ht="18" customHeight="1" x14ac:dyDescent="0.3">
      <c r="A6" s="55">
        <v>20</v>
      </c>
      <c r="B6" s="56">
        <v>8</v>
      </c>
      <c r="C6" s="47"/>
      <c r="D6" s="26">
        <v>20</v>
      </c>
      <c r="E6" s="27">
        <v>8</v>
      </c>
      <c r="G6" s="55">
        <v>7</v>
      </c>
      <c r="H6" s="56">
        <v>8</v>
      </c>
      <c r="I6" s="57"/>
      <c r="J6" s="55">
        <v>7</v>
      </c>
      <c r="K6" s="56">
        <v>8</v>
      </c>
      <c r="L6" s="57"/>
      <c r="M6" s="55">
        <v>6</v>
      </c>
      <c r="N6" s="56">
        <v>8</v>
      </c>
      <c r="O6" s="57"/>
      <c r="P6" s="55">
        <v>6</v>
      </c>
      <c r="Q6" s="56">
        <v>8</v>
      </c>
      <c r="S6" s="101">
        <v>7</v>
      </c>
      <c r="T6" s="56">
        <v>8</v>
      </c>
      <c r="V6" s="55">
        <v>6</v>
      </c>
      <c r="W6" s="56">
        <v>8</v>
      </c>
      <c r="Y6" s="55">
        <v>6</v>
      </c>
      <c r="Z6" s="56">
        <v>8</v>
      </c>
      <c r="AB6" s="55">
        <v>6</v>
      </c>
      <c r="AC6" s="56">
        <v>8</v>
      </c>
      <c r="AE6" s="55">
        <v>7</v>
      </c>
      <c r="AF6" s="56">
        <v>8</v>
      </c>
      <c r="AH6" s="55">
        <v>6</v>
      </c>
      <c r="AI6" s="56">
        <v>8</v>
      </c>
      <c r="AK6" s="55">
        <v>7</v>
      </c>
      <c r="AL6" s="56">
        <v>8</v>
      </c>
      <c r="AN6" s="55">
        <v>8</v>
      </c>
      <c r="AO6" s="56">
        <v>8</v>
      </c>
      <c r="AQ6" s="55">
        <v>7</v>
      </c>
      <c r="AR6" s="56">
        <v>8</v>
      </c>
    </row>
    <row r="7" spans="1:44" s="7" customFormat="1" ht="18" customHeight="1" x14ac:dyDescent="0.3">
      <c r="A7" s="55">
        <v>27</v>
      </c>
      <c r="B7" s="56">
        <v>7</v>
      </c>
      <c r="C7" s="47"/>
      <c r="D7" s="26">
        <v>30</v>
      </c>
      <c r="E7" s="27">
        <v>7</v>
      </c>
      <c r="G7" s="55">
        <v>10</v>
      </c>
      <c r="H7" s="56">
        <v>7</v>
      </c>
      <c r="I7" s="57"/>
      <c r="J7" s="55">
        <v>10</v>
      </c>
      <c r="K7" s="56">
        <v>7</v>
      </c>
      <c r="L7" s="57"/>
      <c r="M7" s="55">
        <v>9</v>
      </c>
      <c r="N7" s="56">
        <v>7</v>
      </c>
      <c r="O7" s="57"/>
      <c r="P7" s="55">
        <v>9</v>
      </c>
      <c r="Q7" s="56">
        <v>7</v>
      </c>
      <c r="S7" s="101">
        <v>10</v>
      </c>
      <c r="T7" s="56">
        <v>7</v>
      </c>
      <c r="V7" s="55">
        <v>9</v>
      </c>
      <c r="W7" s="56">
        <v>7</v>
      </c>
      <c r="Y7" s="55">
        <v>9</v>
      </c>
      <c r="Z7" s="56">
        <v>7</v>
      </c>
      <c r="AB7" s="55">
        <v>9</v>
      </c>
      <c r="AC7" s="56">
        <v>7</v>
      </c>
      <c r="AE7" s="55">
        <v>10</v>
      </c>
      <c r="AF7" s="56">
        <v>7</v>
      </c>
      <c r="AH7" s="55">
        <v>9</v>
      </c>
      <c r="AI7" s="56">
        <v>7</v>
      </c>
      <c r="AK7" s="55">
        <v>10</v>
      </c>
      <c r="AL7" s="56">
        <v>7</v>
      </c>
      <c r="AN7" s="55">
        <v>12</v>
      </c>
      <c r="AO7" s="56">
        <v>7</v>
      </c>
      <c r="AQ7" s="55">
        <v>11</v>
      </c>
      <c r="AR7" s="56">
        <v>7</v>
      </c>
    </row>
    <row r="8" spans="1:44" s="7" customFormat="1" ht="18" customHeight="1" x14ac:dyDescent="0.3">
      <c r="A8" s="55">
        <v>41</v>
      </c>
      <c r="B8" s="56">
        <v>6</v>
      </c>
      <c r="C8" s="47"/>
      <c r="D8" s="26">
        <v>40</v>
      </c>
      <c r="E8" s="27">
        <v>6</v>
      </c>
      <c r="G8" s="55">
        <v>14</v>
      </c>
      <c r="H8" s="56">
        <v>6</v>
      </c>
      <c r="I8" s="57"/>
      <c r="J8" s="55">
        <v>12</v>
      </c>
      <c r="K8" s="56">
        <v>6</v>
      </c>
      <c r="L8" s="57"/>
      <c r="M8" s="55">
        <v>12</v>
      </c>
      <c r="N8" s="56">
        <v>6</v>
      </c>
      <c r="O8" s="57"/>
      <c r="P8" s="55">
        <v>11</v>
      </c>
      <c r="Q8" s="56">
        <v>6</v>
      </c>
      <c r="S8" s="101">
        <v>12</v>
      </c>
      <c r="T8" s="56">
        <v>6</v>
      </c>
      <c r="V8" s="55">
        <v>13</v>
      </c>
      <c r="W8" s="56">
        <v>6</v>
      </c>
      <c r="Y8" s="55">
        <v>12</v>
      </c>
      <c r="Z8" s="56">
        <v>6</v>
      </c>
      <c r="AB8" s="55">
        <v>12</v>
      </c>
      <c r="AC8" s="56">
        <v>6</v>
      </c>
      <c r="AE8" s="55">
        <v>16</v>
      </c>
      <c r="AF8" s="56">
        <v>6</v>
      </c>
      <c r="AH8" s="55">
        <v>13</v>
      </c>
      <c r="AI8" s="56">
        <v>6</v>
      </c>
      <c r="AK8" s="55">
        <v>14</v>
      </c>
      <c r="AL8" s="56">
        <v>6</v>
      </c>
      <c r="AN8" s="55">
        <v>17</v>
      </c>
      <c r="AO8" s="56">
        <v>6</v>
      </c>
      <c r="AQ8" s="55">
        <v>16</v>
      </c>
      <c r="AR8" s="56">
        <v>6</v>
      </c>
    </row>
    <row r="9" spans="1:44" s="7" customFormat="1" ht="18" customHeight="1" x14ac:dyDescent="0.3">
      <c r="A9" s="55">
        <v>56</v>
      </c>
      <c r="B9" s="56">
        <v>5</v>
      </c>
      <c r="C9" s="47"/>
      <c r="D9" s="26">
        <v>50</v>
      </c>
      <c r="E9" s="27">
        <v>5</v>
      </c>
      <c r="G9" s="55">
        <v>21</v>
      </c>
      <c r="H9" s="56">
        <v>5</v>
      </c>
      <c r="I9" s="57"/>
      <c r="J9" s="55">
        <v>17</v>
      </c>
      <c r="K9" s="56">
        <v>5</v>
      </c>
      <c r="L9" s="57"/>
      <c r="M9" s="55">
        <v>19</v>
      </c>
      <c r="N9" s="56">
        <v>5</v>
      </c>
      <c r="O9" s="57"/>
      <c r="P9" s="55">
        <v>17</v>
      </c>
      <c r="Q9" s="56">
        <v>5</v>
      </c>
      <c r="S9" s="101">
        <v>17</v>
      </c>
      <c r="T9" s="56">
        <v>5</v>
      </c>
      <c r="V9" s="55">
        <v>19</v>
      </c>
      <c r="W9" s="56">
        <v>5</v>
      </c>
      <c r="Y9" s="55">
        <v>19</v>
      </c>
      <c r="Z9" s="56">
        <v>5</v>
      </c>
      <c r="AB9" s="55">
        <v>16</v>
      </c>
      <c r="AC9" s="56">
        <v>5</v>
      </c>
      <c r="AE9" s="55">
        <v>24</v>
      </c>
      <c r="AF9" s="56">
        <v>5</v>
      </c>
      <c r="AH9" s="55">
        <v>18</v>
      </c>
      <c r="AI9" s="56">
        <v>5</v>
      </c>
      <c r="AK9" s="55">
        <v>20</v>
      </c>
      <c r="AL9" s="56">
        <v>5</v>
      </c>
      <c r="AN9" s="55">
        <v>24</v>
      </c>
      <c r="AO9" s="56">
        <v>5</v>
      </c>
      <c r="AQ9" s="55">
        <v>21</v>
      </c>
      <c r="AR9" s="56">
        <v>5</v>
      </c>
    </row>
    <row r="10" spans="1:44" s="7" customFormat="1" ht="18" customHeight="1" x14ac:dyDescent="0.3">
      <c r="A10" s="55">
        <v>71</v>
      </c>
      <c r="B10" s="56">
        <v>4</v>
      </c>
      <c r="C10" s="47"/>
      <c r="D10" s="26">
        <v>60</v>
      </c>
      <c r="E10" s="27">
        <v>4</v>
      </c>
      <c r="G10" s="55">
        <v>30</v>
      </c>
      <c r="H10" s="56">
        <v>4</v>
      </c>
      <c r="I10" s="57"/>
      <c r="J10" s="55">
        <v>24</v>
      </c>
      <c r="K10" s="56">
        <v>4</v>
      </c>
      <c r="L10" s="57"/>
      <c r="M10" s="55">
        <v>26</v>
      </c>
      <c r="N10" s="56">
        <v>4</v>
      </c>
      <c r="O10" s="57"/>
      <c r="P10" s="55">
        <v>24</v>
      </c>
      <c r="Q10" s="56">
        <v>4</v>
      </c>
      <c r="S10" s="101">
        <v>26</v>
      </c>
      <c r="T10" s="56">
        <v>4</v>
      </c>
      <c r="V10" s="55">
        <v>28</v>
      </c>
      <c r="W10" s="56">
        <v>4</v>
      </c>
      <c r="Y10" s="55">
        <v>27</v>
      </c>
      <c r="Z10" s="56">
        <v>4</v>
      </c>
      <c r="AB10" s="55">
        <v>24</v>
      </c>
      <c r="AC10" s="56">
        <v>4</v>
      </c>
      <c r="AE10" s="55">
        <v>33</v>
      </c>
      <c r="AF10" s="56">
        <v>4</v>
      </c>
      <c r="AH10" s="55">
        <v>28</v>
      </c>
      <c r="AI10" s="56">
        <v>4</v>
      </c>
      <c r="AK10" s="55">
        <v>27</v>
      </c>
      <c r="AL10" s="56">
        <v>4</v>
      </c>
      <c r="AN10" s="55">
        <v>32</v>
      </c>
      <c r="AO10" s="56">
        <v>4</v>
      </c>
      <c r="AQ10" s="55">
        <v>29</v>
      </c>
      <c r="AR10" s="56">
        <v>4</v>
      </c>
    </row>
    <row r="11" spans="1:44" s="7" customFormat="1" ht="18" customHeight="1" x14ac:dyDescent="0.3">
      <c r="A11" s="55">
        <v>82</v>
      </c>
      <c r="B11" s="56">
        <v>3</v>
      </c>
      <c r="C11" s="47"/>
      <c r="D11" s="26">
        <v>70</v>
      </c>
      <c r="E11" s="27">
        <v>3</v>
      </c>
      <c r="G11" s="55">
        <v>36</v>
      </c>
      <c r="H11" s="56">
        <v>3</v>
      </c>
      <c r="I11" s="57"/>
      <c r="J11" s="55">
        <v>31</v>
      </c>
      <c r="K11" s="56">
        <v>3</v>
      </c>
      <c r="L11" s="57"/>
      <c r="M11" s="55">
        <v>34</v>
      </c>
      <c r="N11" s="56">
        <v>3</v>
      </c>
      <c r="O11" s="57"/>
      <c r="P11" s="55">
        <v>32</v>
      </c>
      <c r="Q11" s="56">
        <v>3</v>
      </c>
      <c r="S11" s="101">
        <v>37</v>
      </c>
      <c r="T11" s="56">
        <v>3</v>
      </c>
      <c r="V11" s="55">
        <v>39</v>
      </c>
      <c r="W11" s="56">
        <v>3</v>
      </c>
      <c r="Y11" s="55">
        <v>35</v>
      </c>
      <c r="Z11" s="56">
        <v>3</v>
      </c>
      <c r="AB11" s="55">
        <v>33</v>
      </c>
      <c r="AC11" s="56">
        <v>3</v>
      </c>
      <c r="AE11" s="55">
        <v>39</v>
      </c>
      <c r="AF11" s="56">
        <v>3</v>
      </c>
      <c r="AH11" s="55">
        <v>35</v>
      </c>
      <c r="AI11" s="56">
        <v>3</v>
      </c>
      <c r="AK11" s="55">
        <v>35</v>
      </c>
      <c r="AL11" s="56">
        <v>3</v>
      </c>
      <c r="AN11" s="55">
        <v>37</v>
      </c>
      <c r="AO11" s="56">
        <v>3</v>
      </c>
      <c r="AQ11" s="55">
        <v>35</v>
      </c>
      <c r="AR11" s="56">
        <v>3</v>
      </c>
    </row>
    <row r="12" spans="1:44" s="7" customFormat="1" ht="18" customHeight="1" x14ac:dyDescent="0.3">
      <c r="A12" s="55">
        <v>91</v>
      </c>
      <c r="B12" s="56">
        <v>2</v>
      </c>
      <c r="C12" s="47"/>
      <c r="D12" s="26">
        <v>80</v>
      </c>
      <c r="E12" s="27">
        <v>2</v>
      </c>
      <c r="G12" s="55">
        <v>43</v>
      </c>
      <c r="H12" s="56">
        <v>2</v>
      </c>
      <c r="I12" s="57"/>
      <c r="J12" s="55">
        <v>37</v>
      </c>
      <c r="K12" s="56">
        <v>2</v>
      </c>
      <c r="L12" s="57"/>
      <c r="M12" s="55">
        <v>42</v>
      </c>
      <c r="N12" s="56">
        <v>2</v>
      </c>
      <c r="O12" s="57"/>
      <c r="P12" s="55">
        <v>39</v>
      </c>
      <c r="Q12" s="56">
        <v>2</v>
      </c>
      <c r="S12" s="101">
        <v>45</v>
      </c>
      <c r="T12" s="56">
        <v>2</v>
      </c>
      <c r="V12" s="55">
        <v>44</v>
      </c>
      <c r="W12" s="56">
        <v>2</v>
      </c>
      <c r="Y12" s="55">
        <v>42</v>
      </c>
      <c r="Z12" s="56">
        <v>2</v>
      </c>
      <c r="AB12" s="55">
        <v>41</v>
      </c>
      <c r="AC12" s="56">
        <v>2</v>
      </c>
      <c r="AE12" s="55">
        <v>44</v>
      </c>
      <c r="AF12" s="56">
        <v>2</v>
      </c>
      <c r="AH12" s="55">
        <v>41</v>
      </c>
      <c r="AI12" s="56">
        <v>2</v>
      </c>
      <c r="AK12" s="55">
        <v>43</v>
      </c>
      <c r="AL12" s="56">
        <v>2</v>
      </c>
      <c r="AN12" s="55">
        <v>41</v>
      </c>
      <c r="AO12" s="56">
        <v>2</v>
      </c>
      <c r="AQ12" s="55">
        <v>40</v>
      </c>
      <c r="AR12" s="56">
        <v>2</v>
      </c>
    </row>
    <row r="13" spans="1:44" s="7" customFormat="1" ht="18" customHeight="1" thickBot="1" x14ac:dyDescent="0.35">
      <c r="A13" s="24">
        <v>96</v>
      </c>
      <c r="B13" s="25">
        <v>1</v>
      </c>
      <c r="C13" s="47"/>
      <c r="D13" s="24">
        <v>90</v>
      </c>
      <c r="E13" s="25">
        <v>1</v>
      </c>
      <c r="G13" s="24">
        <v>47</v>
      </c>
      <c r="H13" s="25">
        <v>1</v>
      </c>
      <c r="I13" s="57"/>
      <c r="J13" s="24">
        <v>44</v>
      </c>
      <c r="K13" s="25">
        <v>1</v>
      </c>
      <c r="L13" s="57"/>
      <c r="M13" s="24">
        <v>47</v>
      </c>
      <c r="N13" s="25">
        <v>1</v>
      </c>
      <c r="O13" s="57"/>
      <c r="P13" s="24">
        <v>46</v>
      </c>
      <c r="Q13" s="25">
        <v>1</v>
      </c>
      <c r="S13" s="24">
        <v>48</v>
      </c>
      <c r="T13" s="25">
        <v>1</v>
      </c>
      <c r="V13" s="24">
        <v>48</v>
      </c>
      <c r="W13" s="25">
        <v>1</v>
      </c>
      <c r="Y13" s="24">
        <v>47</v>
      </c>
      <c r="Z13" s="25">
        <v>1</v>
      </c>
      <c r="AB13" s="24">
        <v>47</v>
      </c>
      <c r="AC13" s="25">
        <v>1</v>
      </c>
      <c r="AE13" s="24">
        <v>47</v>
      </c>
      <c r="AF13" s="25">
        <v>1</v>
      </c>
      <c r="AH13" s="24">
        <v>45</v>
      </c>
      <c r="AI13" s="25">
        <v>1</v>
      </c>
      <c r="AK13" s="24">
        <v>47</v>
      </c>
      <c r="AL13" s="25">
        <v>1</v>
      </c>
      <c r="AN13" s="24">
        <v>44</v>
      </c>
      <c r="AO13" s="25">
        <v>1</v>
      </c>
      <c r="AQ13" s="24">
        <v>44</v>
      </c>
      <c r="AR13" s="25">
        <v>1</v>
      </c>
    </row>
    <row r="14" spans="1:44" s="7" customFormat="1" ht="18" customHeight="1" thickBot="1" x14ac:dyDescent="0.35">
      <c r="A14" s="15"/>
      <c r="B14" s="15"/>
      <c r="C14" s="47"/>
    </row>
    <row r="15" spans="1:44" s="7" customFormat="1" ht="18" customHeight="1" x14ac:dyDescent="0.3">
      <c r="A15" s="134" t="s">
        <v>57</v>
      </c>
      <c r="B15" s="135"/>
      <c r="C15" s="47"/>
      <c r="D15" s="134" t="s">
        <v>18</v>
      </c>
      <c r="E15" s="135"/>
      <c r="G15" s="134" t="s">
        <v>59</v>
      </c>
      <c r="H15" s="135"/>
      <c r="J15" s="134" t="s">
        <v>60</v>
      </c>
      <c r="K15" s="135"/>
      <c r="M15" s="134" t="s">
        <v>61</v>
      </c>
      <c r="N15" s="135"/>
      <c r="AH15" s="134" t="s">
        <v>63</v>
      </c>
      <c r="AI15" s="135"/>
      <c r="AJ15" s="14"/>
      <c r="AK15" s="134" t="s">
        <v>64</v>
      </c>
      <c r="AL15" s="135"/>
      <c r="AM15" s="14"/>
      <c r="AN15" s="134" t="s">
        <v>65</v>
      </c>
      <c r="AO15" s="135"/>
      <c r="AP15" s="14"/>
      <c r="AQ15" s="134" t="s">
        <v>66</v>
      </c>
      <c r="AR15" s="135"/>
    </row>
    <row r="16" spans="1:44" s="7" customFormat="1" ht="18" customHeight="1" thickBot="1" x14ac:dyDescent="0.35">
      <c r="A16" s="136"/>
      <c r="B16" s="137"/>
      <c r="C16" s="47"/>
      <c r="D16" s="136"/>
      <c r="E16" s="137"/>
      <c r="G16" s="136"/>
      <c r="H16" s="137"/>
      <c r="J16" s="136"/>
      <c r="K16" s="137"/>
      <c r="M16" s="136"/>
      <c r="N16" s="137"/>
      <c r="AH16" s="136"/>
      <c r="AI16" s="137"/>
      <c r="AJ16" s="14"/>
      <c r="AK16" s="136"/>
      <c r="AL16" s="137"/>
      <c r="AM16" s="14"/>
      <c r="AN16" s="136"/>
      <c r="AO16" s="137"/>
      <c r="AP16" s="14"/>
      <c r="AQ16" s="136"/>
      <c r="AR16" s="137"/>
    </row>
    <row r="17" spans="1:44" s="7" customFormat="1" ht="18" customHeight="1" x14ac:dyDescent="0.3">
      <c r="A17" s="142" t="s">
        <v>11</v>
      </c>
      <c r="B17" s="143" t="s">
        <v>10</v>
      </c>
      <c r="C17" s="47"/>
      <c r="D17" s="142" t="s">
        <v>11</v>
      </c>
      <c r="E17" s="143" t="s">
        <v>10</v>
      </c>
      <c r="G17" s="138" t="s">
        <v>11</v>
      </c>
      <c r="H17" s="140" t="s">
        <v>10</v>
      </c>
      <c r="J17" s="142" t="s">
        <v>11</v>
      </c>
      <c r="K17" s="143" t="s">
        <v>10</v>
      </c>
      <c r="M17" s="142" t="s">
        <v>11</v>
      </c>
      <c r="N17" s="143" t="s">
        <v>10</v>
      </c>
      <c r="AH17" s="138" t="s">
        <v>11</v>
      </c>
      <c r="AI17" s="140" t="s">
        <v>10</v>
      </c>
      <c r="AJ17" s="58"/>
      <c r="AK17" s="138" t="s">
        <v>11</v>
      </c>
      <c r="AL17" s="140" t="s">
        <v>10</v>
      </c>
      <c r="AN17" s="138" t="s">
        <v>11</v>
      </c>
      <c r="AO17" s="140" t="s">
        <v>10</v>
      </c>
      <c r="AQ17" s="138" t="s">
        <v>11</v>
      </c>
      <c r="AR17" s="140" t="s">
        <v>10</v>
      </c>
    </row>
    <row r="18" spans="1:44" s="7" customFormat="1" ht="18" customHeight="1" thickBot="1" x14ac:dyDescent="0.35">
      <c r="A18" s="139"/>
      <c r="B18" s="141"/>
      <c r="C18" s="47"/>
      <c r="D18" s="142"/>
      <c r="E18" s="143"/>
      <c r="G18" s="139"/>
      <c r="H18" s="141"/>
      <c r="J18" s="139"/>
      <c r="K18" s="141"/>
      <c r="M18" s="139"/>
      <c r="N18" s="141"/>
      <c r="AH18" s="139"/>
      <c r="AI18" s="141"/>
      <c r="AK18" s="139"/>
      <c r="AL18" s="141"/>
      <c r="AN18" s="139"/>
      <c r="AO18" s="141"/>
      <c r="AQ18" s="139"/>
      <c r="AR18" s="141"/>
    </row>
    <row r="19" spans="1:44" s="7" customFormat="1" ht="18" customHeight="1" x14ac:dyDescent="0.3">
      <c r="A19" s="29">
        <v>0</v>
      </c>
      <c r="B19" s="32">
        <v>9</v>
      </c>
      <c r="C19" s="47"/>
      <c r="D19" s="20">
        <v>0</v>
      </c>
      <c r="E19" s="21">
        <v>9</v>
      </c>
      <c r="G19" s="70">
        <v>0</v>
      </c>
      <c r="H19" s="32">
        <v>9</v>
      </c>
      <c r="J19" s="70">
        <v>0</v>
      </c>
      <c r="K19" s="32">
        <v>9</v>
      </c>
      <c r="M19" s="70">
        <v>0</v>
      </c>
      <c r="N19" s="32">
        <v>9</v>
      </c>
      <c r="AH19" s="70">
        <v>0</v>
      </c>
      <c r="AI19" s="32">
        <v>9</v>
      </c>
      <c r="AK19" s="70">
        <v>0</v>
      </c>
      <c r="AL19" s="32">
        <v>9</v>
      </c>
      <c r="AN19" s="70">
        <v>0</v>
      </c>
      <c r="AO19" s="32">
        <v>9</v>
      </c>
      <c r="AQ19" s="70">
        <v>0</v>
      </c>
      <c r="AR19" s="32">
        <v>9</v>
      </c>
    </row>
    <row r="20" spans="1:44" s="7" customFormat="1" ht="18" customHeight="1" x14ac:dyDescent="0.3">
      <c r="A20" s="30">
        <v>20</v>
      </c>
      <c r="B20" s="31">
        <v>8</v>
      </c>
      <c r="C20" s="47"/>
      <c r="D20" s="22">
        <v>5</v>
      </c>
      <c r="E20" s="23">
        <v>8</v>
      </c>
      <c r="G20" s="71">
        <v>9</v>
      </c>
      <c r="H20" s="72">
        <v>8</v>
      </c>
      <c r="J20" s="71">
        <v>6</v>
      </c>
      <c r="K20" s="72">
        <v>8</v>
      </c>
      <c r="M20" s="71">
        <v>9</v>
      </c>
      <c r="N20" s="72">
        <v>8</v>
      </c>
      <c r="AH20" s="71">
        <v>5</v>
      </c>
      <c r="AI20" s="72">
        <v>8</v>
      </c>
      <c r="AK20" s="71">
        <v>5</v>
      </c>
      <c r="AL20" s="72">
        <v>8</v>
      </c>
      <c r="AN20" s="71">
        <v>5</v>
      </c>
      <c r="AO20" s="72">
        <v>8</v>
      </c>
      <c r="AQ20" s="71">
        <v>5</v>
      </c>
      <c r="AR20" s="72">
        <v>8</v>
      </c>
    </row>
    <row r="21" spans="1:44" s="7" customFormat="1" ht="18" customHeight="1" x14ac:dyDescent="0.3">
      <c r="A21" s="30">
        <v>27</v>
      </c>
      <c r="B21" s="31">
        <v>7</v>
      </c>
      <c r="C21" s="47"/>
      <c r="D21" s="22">
        <v>10</v>
      </c>
      <c r="E21" s="23">
        <v>7</v>
      </c>
      <c r="G21" s="71">
        <v>13</v>
      </c>
      <c r="H21" s="72">
        <v>7</v>
      </c>
      <c r="J21" s="71">
        <v>10</v>
      </c>
      <c r="K21" s="72">
        <v>7</v>
      </c>
      <c r="M21" s="71">
        <v>13</v>
      </c>
      <c r="N21" s="72">
        <v>7</v>
      </c>
      <c r="AH21" s="71">
        <v>8</v>
      </c>
      <c r="AI21" s="72">
        <v>7</v>
      </c>
      <c r="AK21" s="71">
        <v>8</v>
      </c>
      <c r="AL21" s="72">
        <v>7</v>
      </c>
      <c r="AN21" s="71">
        <v>8</v>
      </c>
      <c r="AO21" s="72">
        <v>7</v>
      </c>
      <c r="AQ21" s="71">
        <v>7</v>
      </c>
      <c r="AR21" s="72">
        <v>7</v>
      </c>
    </row>
    <row r="22" spans="1:44" s="7" customFormat="1" ht="18" customHeight="1" x14ac:dyDescent="0.3">
      <c r="A22" s="30">
        <v>41</v>
      </c>
      <c r="B22" s="31">
        <v>6</v>
      </c>
      <c r="C22" s="47"/>
      <c r="D22" s="22">
        <v>15</v>
      </c>
      <c r="E22" s="23">
        <v>6</v>
      </c>
      <c r="G22" s="71">
        <v>21</v>
      </c>
      <c r="H22" s="72">
        <v>6</v>
      </c>
      <c r="J22" s="71">
        <v>18</v>
      </c>
      <c r="K22" s="72">
        <v>6</v>
      </c>
      <c r="M22" s="71">
        <v>21</v>
      </c>
      <c r="N22" s="72">
        <v>6</v>
      </c>
      <c r="AH22" s="71">
        <v>11</v>
      </c>
      <c r="AI22" s="72">
        <v>6</v>
      </c>
      <c r="AK22" s="71">
        <v>10</v>
      </c>
      <c r="AL22" s="72">
        <v>6</v>
      </c>
      <c r="AN22" s="71">
        <v>10</v>
      </c>
      <c r="AO22" s="72">
        <v>6</v>
      </c>
      <c r="AQ22" s="71">
        <v>10</v>
      </c>
      <c r="AR22" s="72">
        <v>6</v>
      </c>
    </row>
    <row r="23" spans="1:44" s="7" customFormat="1" ht="18" customHeight="1" x14ac:dyDescent="0.3">
      <c r="A23" s="30">
        <v>56</v>
      </c>
      <c r="B23" s="31">
        <v>5</v>
      </c>
      <c r="C23" s="47"/>
      <c r="D23" s="22">
        <v>20</v>
      </c>
      <c r="E23" s="23">
        <v>5</v>
      </c>
      <c r="G23" s="71">
        <v>40</v>
      </c>
      <c r="H23" s="72">
        <v>5</v>
      </c>
      <c r="J23" s="71">
        <v>37</v>
      </c>
      <c r="K23" s="72">
        <v>5</v>
      </c>
      <c r="M23" s="71">
        <v>39</v>
      </c>
      <c r="N23" s="72">
        <v>5</v>
      </c>
      <c r="AH23" s="71">
        <v>14</v>
      </c>
      <c r="AI23" s="72">
        <v>5</v>
      </c>
      <c r="AK23" s="71">
        <v>14</v>
      </c>
      <c r="AL23" s="72">
        <v>5</v>
      </c>
      <c r="AN23" s="71">
        <v>13</v>
      </c>
      <c r="AO23" s="72">
        <v>5</v>
      </c>
      <c r="AQ23" s="71">
        <v>13</v>
      </c>
      <c r="AR23" s="72">
        <v>5</v>
      </c>
    </row>
    <row r="24" spans="1:44" s="7" customFormat="1" ht="18" customHeight="1" x14ac:dyDescent="0.3">
      <c r="A24" s="30">
        <v>70</v>
      </c>
      <c r="B24" s="31">
        <v>4</v>
      </c>
      <c r="C24" s="47"/>
      <c r="D24" s="22">
        <v>25</v>
      </c>
      <c r="E24" s="23">
        <v>4</v>
      </c>
      <c r="G24" s="71">
        <v>63</v>
      </c>
      <c r="H24" s="72">
        <v>4</v>
      </c>
      <c r="J24" s="71">
        <v>59</v>
      </c>
      <c r="K24" s="72">
        <v>4</v>
      </c>
      <c r="M24" s="71">
        <v>61</v>
      </c>
      <c r="N24" s="72">
        <v>4</v>
      </c>
      <c r="AH24" s="71">
        <v>22</v>
      </c>
      <c r="AI24" s="72">
        <v>4</v>
      </c>
      <c r="AK24" s="71">
        <v>21</v>
      </c>
      <c r="AL24" s="72">
        <v>4</v>
      </c>
      <c r="AN24" s="71">
        <v>21</v>
      </c>
      <c r="AO24" s="72">
        <v>4</v>
      </c>
      <c r="AQ24" s="71">
        <v>17</v>
      </c>
      <c r="AR24" s="72">
        <v>4</v>
      </c>
    </row>
    <row r="25" spans="1:44" s="7" customFormat="1" ht="18" customHeight="1" x14ac:dyDescent="0.3">
      <c r="A25" s="30">
        <v>81</v>
      </c>
      <c r="B25" s="31">
        <v>3</v>
      </c>
      <c r="C25" s="47"/>
      <c r="D25" s="22">
        <v>30</v>
      </c>
      <c r="E25" s="23">
        <v>3</v>
      </c>
      <c r="G25" s="71">
        <v>76</v>
      </c>
      <c r="H25" s="72">
        <v>3</v>
      </c>
      <c r="J25" s="71">
        <v>71</v>
      </c>
      <c r="K25" s="72">
        <v>3</v>
      </c>
      <c r="M25" s="71">
        <v>73</v>
      </c>
      <c r="N25" s="72">
        <v>3</v>
      </c>
      <c r="AH25" s="71">
        <v>33</v>
      </c>
      <c r="AI25" s="72">
        <v>3</v>
      </c>
      <c r="AK25" s="71">
        <v>33</v>
      </c>
      <c r="AL25" s="72">
        <v>3</v>
      </c>
      <c r="AN25" s="71">
        <v>30</v>
      </c>
      <c r="AO25" s="72">
        <v>3</v>
      </c>
      <c r="AQ25" s="71">
        <v>25</v>
      </c>
      <c r="AR25" s="72">
        <v>3</v>
      </c>
    </row>
    <row r="26" spans="1:44" s="7" customFormat="1" ht="18" customHeight="1" x14ac:dyDescent="0.3">
      <c r="A26" s="30">
        <v>89</v>
      </c>
      <c r="B26" s="31">
        <v>2</v>
      </c>
      <c r="C26" s="47"/>
      <c r="D26" s="22">
        <v>35</v>
      </c>
      <c r="E26" s="23">
        <v>2</v>
      </c>
      <c r="G26" s="71">
        <v>84</v>
      </c>
      <c r="H26" s="72">
        <v>2</v>
      </c>
      <c r="J26" s="71">
        <v>79</v>
      </c>
      <c r="K26" s="72">
        <v>2</v>
      </c>
      <c r="M26" s="71">
        <v>80</v>
      </c>
      <c r="N26" s="72">
        <v>2</v>
      </c>
      <c r="AH26" s="71">
        <v>42</v>
      </c>
      <c r="AI26" s="72">
        <v>2</v>
      </c>
      <c r="AK26" s="71">
        <v>42</v>
      </c>
      <c r="AL26" s="72">
        <v>2</v>
      </c>
      <c r="AN26" s="71">
        <v>41</v>
      </c>
      <c r="AO26" s="72">
        <v>2</v>
      </c>
      <c r="AQ26" s="71">
        <v>41</v>
      </c>
      <c r="AR26" s="72">
        <v>2</v>
      </c>
    </row>
    <row r="27" spans="1:44" s="7" customFormat="1" ht="18" customHeight="1" thickBot="1" x14ac:dyDescent="0.35">
      <c r="A27" s="24">
        <v>95</v>
      </c>
      <c r="B27" s="25">
        <v>1</v>
      </c>
      <c r="C27" s="47"/>
      <c r="D27" s="24">
        <v>40</v>
      </c>
      <c r="E27" s="25">
        <v>1</v>
      </c>
      <c r="G27" s="24">
        <v>92</v>
      </c>
      <c r="H27" s="25">
        <v>1</v>
      </c>
      <c r="J27" s="24">
        <v>87</v>
      </c>
      <c r="K27" s="25">
        <v>1</v>
      </c>
      <c r="M27" s="24">
        <v>88</v>
      </c>
      <c r="N27" s="25">
        <v>1</v>
      </c>
      <c r="AH27" s="24">
        <v>47</v>
      </c>
      <c r="AI27" s="25">
        <v>1</v>
      </c>
      <c r="AK27" s="24">
        <v>48</v>
      </c>
      <c r="AL27" s="25">
        <v>1</v>
      </c>
      <c r="AN27" s="24">
        <v>47</v>
      </c>
      <c r="AO27" s="25">
        <v>1</v>
      </c>
      <c r="AQ27" s="24">
        <v>48</v>
      </c>
      <c r="AR27" s="25">
        <v>1</v>
      </c>
    </row>
    <row r="28" spans="1:44" s="7" customFormat="1" ht="18" customHeight="1" x14ac:dyDescent="0.3">
      <c r="C28" s="47"/>
    </row>
    <row r="29" spans="1:44" s="7" customFormat="1" ht="18" customHeight="1" x14ac:dyDescent="0.3">
      <c r="C29" s="47"/>
    </row>
    <row r="30" spans="1:44" s="7" customFormat="1" ht="18" customHeight="1" x14ac:dyDescent="0.3"/>
    <row r="31" spans="1:44" s="7" customFormat="1" ht="18" customHeight="1" x14ac:dyDescent="0.3"/>
    <row r="32" spans="1:44" s="7" customFormat="1" ht="18" customHeight="1" x14ac:dyDescent="0.3"/>
    <row r="33" spans="1:3" s="7" customFormat="1" ht="18" customHeight="1" x14ac:dyDescent="0.3"/>
    <row r="34" spans="1:3" s="7" customFormat="1" ht="18" customHeight="1" x14ac:dyDescent="0.3"/>
    <row r="35" spans="1:3" s="7" customFormat="1" ht="18" customHeight="1" x14ac:dyDescent="0.3"/>
    <row r="36" spans="1:3" s="7" customFormat="1" ht="18" customHeight="1" x14ac:dyDescent="0.3"/>
    <row r="37" spans="1:3" s="7" customFormat="1" ht="18" customHeight="1" x14ac:dyDescent="0.3"/>
    <row r="38" spans="1:3" s="7" customFormat="1" ht="18" customHeight="1" x14ac:dyDescent="0.3"/>
    <row r="39" spans="1:3" s="7" customFormat="1" ht="18" customHeight="1" x14ac:dyDescent="0.3"/>
    <row r="40" spans="1:3" s="7" customFormat="1" ht="18" customHeight="1" x14ac:dyDescent="0.3"/>
    <row r="41" spans="1:3" s="7" customFormat="1" ht="18" customHeight="1" x14ac:dyDescent="0.3">
      <c r="A41" s="15"/>
      <c r="B41" s="15"/>
      <c r="C41" s="16"/>
    </row>
    <row r="42" spans="1:3" s="7" customFormat="1" ht="18" customHeight="1" x14ac:dyDescent="0.3"/>
    <row r="43" spans="1:3" s="7" customFormat="1" ht="18" customHeight="1" x14ac:dyDescent="0.3"/>
    <row r="44" spans="1:3" s="7" customFormat="1" ht="18" customHeight="1" x14ac:dyDescent="0.3"/>
    <row r="45" spans="1:3" s="7" customFormat="1" ht="18" customHeight="1" x14ac:dyDescent="0.3"/>
    <row r="46" spans="1:3" s="7" customFormat="1" ht="18" customHeight="1" x14ac:dyDescent="0.3"/>
    <row r="47" spans="1:3" s="7" customFormat="1" ht="18" customHeight="1" x14ac:dyDescent="0.3"/>
    <row r="48" spans="1:3" s="7" customFormat="1" ht="18" customHeight="1" x14ac:dyDescent="0.3"/>
    <row r="49" spans="1:3" s="7" customFormat="1" ht="18" customHeight="1" x14ac:dyDescent="0.3"/>
    <row r="50" spans="1:3" s="7" customFormat="1" ht="18" customHeight="1" x14ac:dyDescent="0.3"/>
    <row r="51" spans="1:3" s="7" customFormat="1" ht="18" customHeight="1" x14ac:dyDescent="0.3"/>
    <row r="52" spans="1:3" s="7" customFormat="1" ht="18" customHeight="1" x14ac:dyDescent="0.3"/>
    <row r="53" spans="1:3" s="7" customFormat="1" ht="18" customHeight="1" x14ac:dyDescent="0.3"/>
    <row r="54" spans="1:3" s="7" customFormat="1" ht="18" customHeight="1" x14ac:dyDescent="0.3"/>
    <row r="55" spans="1:3" s="7" customFormat="1" ht="18" customHeight="1" x14ac:dyDescent="0.3">
      <c r="A55" s="15"/>
      <c r="B55" s="15"/>
      <c r="C55" s="16"/>
    </row>
    <row r="56" spans="1:3" s="7" customFormat="1" ht="18" customHeight="1" x14ac:dyDescent="0.3"/>
    <row r="57" spans="1:3" s="7" customFormat="1" ht="18" customHeight="1" x14ac:dyDescent="0.3"/>
    <row r="58" spans="1:3" s="7" customFormat="1" ht="18" customHeight="1" x14ac:dyDescent="0.3"/>
    <row r="59" spans="1:3" s="7" customFormat="1" ht="18" customHeight="1" x14ac:dyDescent="0.3"/>
    <row r="60" spans="1:3" s="7" customFormat="1" ht="18" customHeight="1" x14ac:dyDescent="0.3"/>
    <row r="61" spans="1:3" s="7" customFormat="1" ht="18" customHeight="1" x14ac:dyDescent="0.3"/>
    <row r="62" spans="1:3" s="7" customFormat="1" ht="18" customHeight="1" x14ac:dyDescent="0.3"/>
    <row r="63" spans="1:3" s="7" customFormat="1" ht="18" customHeight="1" x14ac:dyDescent="0.3"/>
    <row r="64" spans="1:3" s="7" customFormat="1" ht="18" customHeight="1" x14ac:dyDescent="0.3"/>
    <row r="65" spans="1:3" s="7" customFormat="1" ht="18" customHeight="1" x14ac:dyDescent="0.3"/>
    <row r="66" spans="1:3" s="7" customFormat="1" ht="18" customHeight="1" x14ac:dyDescent="0.3"/>
    <row r="67" spans="1:3" s="7" customFormat="1" ht="18" customHeight="1" x14ac:dyDescent="0.3"/>
    <row r="68" spans="1:3" s="7" customFormat="1" ht="18" customHeight="1" x14ac:dyDescent="0.3"/>
    <row r="69" spans="1:3" s="7" customFormat="1" ht="18" customHeight="1" x14ac:dyDescent="0.3">
      <c r="A69" s="14"/>
      <c r="B69" s="14"/>
      <c r="C69" s="14"/>
    </row>
    <row r="70" spans="1:3" s="7" customFormat="1" ht="18" customHeight="1" x14ac:dyDescent="0.3">
      <c r="A70" s="14"/>
      <c r="B70" s="14"/>
      <c r="C70" s="14"/>
    </row>
    <row r="71" spans="1:3" s="7" customFormat="1" ht="18" customHeight="1" x14ac:dyDescent="0.3">
      <c r="A71" s="14"/>
      <c r="B71" s="14"/>
      <c r="C71" s="14"/>
    </row>
    <row r="72" spans="1:3" s="7" customFormat="1" ht="18" customHeight="1" x14ac:dyDescent="0.3">
      <c r="A72" s="14"/>
      <c r="B72" s="14"/>
      <c r="C72" s="14"/>
    </row>
    <row r="73" spans="1:3" s="7" customFormat="1" ht="18" customHeight="1" x14ac:dyDescent="0.3">
      <c r="A73" s="14"/>
      <c r="B73" s="14"/>
      <c r="C73" s="14"/>
    </row>
    <row r="74" spans="1:3" s="7" customFormat="1" ht="18" customHeight="1" x14ac:dyDescent="0.3">
      <c r="A74" s="14"/>
      <c r="B74" s="14"/>
      <c r="C74" s="14"/>
    </row>
    <row r="75" spans="1:3" s="7" customFormat="1" ht="18" customHeight="1" x14ac:dyDescent="0.3">
      <c r="A75" s="14"/>
      <c r="B75" s="14"/>
      <c r="C75" s="14"/>
    </row>
    <row r="76" spans="1:3" s="7" customFormat="1" ht="18" customHeight="1" x14ac:dyDescent="0.3">
      <c r="A76" s="14"/>
      <c r="B76" s="14"/>
      <c r="C76" s="14"/>
    </row>
    <row r="77" spans="1:3" s="7" customFormat="1" ht="18" customHeight="1" x14ac:dyDescent="0.3">
      <c r="A77" s="14"/>
      <c r="B77" s="14"/>
      <c r="C77" s="14"/>
    </row>
    <row r="78" spans="1:3" s="7" customFormat="1" ht="18" customHeight="1" x14ac:dyDescent="0.3">
      <c r="A78" s="14"/>
      <c r="B78" s="14"/>
      <c r="C78" s="14"/>
    </row>
    <row r="79" spans="1:3" s="7" customFormat="1" ht="18" customHeight="1" x14ac:dyDescent="0.3">
      <c r="A79" s="14"/>
      <c r="B79" s="14"/>
      <c r="C79" s="14"/>
    </row>
    <row r="80" spans="1:3" s="7" customFormat="1" ht="18" customHeight="1" x14ac:dyDescent="0.3">
      <c r="A80" s="14"/>
      <c r="B80" s="14"/>
      <c r="C80" s="14"/>
    </row>
    <row r="81" spans="1:3" s="7" customFormat="1" ht="18" customHeight="1" x14ac:dyDescent="0.3">
      <c r="A81" s="14"/>
      <c r="B81" s="14"/>
      <c r="C81" s="14"/>
    </row>
    <row r="82" spans="1:3" s="7" customFormat="1" ht="18" customHeight="1" x14ac:dyDescent="0.3">
      <c r="A82" s="14"/>
      <c r="B82" s="14"/>
      <c r="C82" s="14"/>
    </row>
    <row r="83" spans="1:3" s="7" customFormat="1" ht="18" customHeight="1" x14ac:dyDescent="0.3">
      <c r="A83" s="14"/>
      <c r="B83" s="14"/>
      <c r="C83" s="14"/>
    </row>
    <row r="84" spans="1:3" s="7" customFormat="1" ht="18" customHeight="1" x14ac:dyDescent="0.3">
      <c r="A84" s="14"/>
      <c r="B84" s="14"/>
      <c r="C84" s="14"/>
    </row>
    <row r="85" spans="1:3" s="7" customFormat="1" ht="18" customHeight="1" x14ac:dyDescent="0.3">
      <c r="A85" s="14"/>
      <c r="B85" s="14"/>
      <c r="C85" s="14"/>
    </row>
    <row r="86" spans="1:3" s="7" customFormat="1" ht="18" customHeight="1" x14ac:dyDescent="0.3">
      <c r="A86" s="14"/>
      <c r="B86" s="14"/>
      <c r="C86" s="14"/>
    </row>
    <row r="87" spans="1:3" s="7" customFormat="1" ht="18" customHeight="1" x14ac:dyDescent="0.3">
      <c r="A87" s="14"/>
      <c r="B87" s="14"/>
      <c r="C87" s="14"/>
    </row>
    <row r="88" spans="1:3" s="7" customFormat="1" ht="18" customHeight="1" x14ac:dyDescent="0.3">
      <c r="A88" s="14"/>
      <c r="B88" s="14"/>
      <c r="C88" s="14"/>
    </row>
    <row r="89" spans="1:3" s="7" customFormat="1" ht="18" customHeight="1" x14ac:dyDescent="0.3">
      <c r="A89" s="14"/>
      <c r="B89" s="14"/>
      <c r="C89" s="14"/>
    </row>
    <row r="90" spans="1:3" s="7" customFormat="1" ht="18" customHeight="1" x14ac:dyDescent="0.3">
      <c r="A90" s="14"/>
      <c r="B90" s="14"/>
      <c r="C90" s="14"/>
    </row>
    <row r="91" spans="1:3" s="7" customFormat="1" ht="18" customHeight="1" x14ac:dyDescent="0.3">
      <c r="A91" s="14"/>
      <c r="B91" s="14"/>
      <c r="C91" s="14"/>
    </row>
    <row r="92" spans="1:3" s="7" customFormat="1" ht="18" customHeight="1" x14ac:dyDescent="0.3">
      <c r="A92" s="14"/>
      <c r="B92" s="14"/>
      <c r="C92" s="14"/>
    </row>
    <row r="93" spans="1:3" s="7" customFormat="1" ht="18" customHeight="1" x14ac:dyDescent="0.3">
      <c r="A93" s="14"/>
      <c r="B93" s="14"/>
      <c r="C93" s="14"/>
    </row>
    <row r="94" spans="1:3" s="7" customFormat="1" ht="18" customHeight="1" x14ac:dyDescent="0.3">
      <c r="A94" s="14"/>
      <c r="B94" s="14"/>
      <c r="C94" s="14"/>
    </row>
    <row r="95" spans="1:3" s="7" customFormat="1" ht="18" customHeight="1" x14ac:dyDescent="0.3">
      <c r="A95" s="14"/>
      <c r="B95" s="14"/>
      <c r="C95" s="14"/>
    </row>
    <row r="96" spans="1:3" s="7" customFormat="1" ht="18" customHeight="1" x14ac:dyDescent="0.3">
      <c r="A96" s="14"/>
      <c r="B96" s="14"/>
      <c r="C96" s="14"/>
    </row>
    <row r="97" spans="1:3" s="7" customFormat="1" ht="18" customHeight="1" x14ac:dyDescent="0.3">
      <c r="A97" s="14"/>
      <c r="B97" s="14"/>
      <c r="C97" s="14"/>
    </row>
    <row r="98" spans="1:3" s="7" customFormat="1" ht="18" customHeight="1" x14ac:dyDescent="0.3">
      <c r="A98" s="14"/>
      <c r="B98" s="14"/>
      <c r="C98" s="14"/>
    </row>
    <row r="99" spans="1:3" s="7" customFormat="1" ht="18" customHeight="1" x14ac:dyDescent="0.3">
      <c r="A99" s="14"/>
      <c r="B99" s="14"/>
      <c r="C99" s="14"/>
    </row>
    <row r="100" spans="1:3" s="7" customFormat="1" ht="18" customHeight="1" x14ac:dyDescent="0.3">
      <c r="A100" s="14"/>
      <c r="B100" s="14"/>
      <c r="C100" s="14"/>
    </row>
    <row r="101" spans="1:3" s="7" customFormat="1" ht="18" customHeight="1" x14ac:dyDescent="0.3">
      <c r="A101" s="14"/>
      <c r="B101" s="14"/>
      <c r="C101" s="14"/>
    </row>
    <row r="102" spans="1:3" s="7" customFormat="1" ht="18" customHeight="1" x14ac:dyDescent="0.3">
      <c r="A102" s="14"/>
      <c r="B102" s="14"/>
      <c r="C102" s="14"/>
    </row>
    <row r="103" spans="1:3" s="7" customFormat="1" ht="18" customHeight="1" x14ac:dyDescent="0.3">
      <c r="A103" s="14"/>
      <c r="B103" s="14"/>
      <c r="C103" s="14"/>
    </row>
    <row r="104" spans="1:3" s="7" customFormat="1" ht="18" customHeight="1" x14ac:dyDescent="0.3">
      <c r="A104" s="14"/>
      <c r="B104" s="14"/>
      <c r="C104" s="14"/>
    </row>
    <row r="105" spans="1:3" s="7" customFormat="1" ht="18" customHeight="1" x14ac:dyDescent="0.3">
      <c r="A105" s="14"/>
      <c r="B105" s="14"/>
      <c r="C105" s="14"/>
    </row>
    <row r="106" spans="1:3" s="7" customFormat="1" ht="18" customHeight="1" x14ac:dyDescent="0.3">
      <c r="A106" s="14"/>
      <c r="B106" s="14"/>
      <c r="C106" s="14"/>
    </row>
    <row r="107" spans="1:3" s="7" customFormat="1" ht="18" customHeight="1" x14ac:dyDescent="0.3">
      <c r="A107" s="14"/>
      <c r="B107" s="14"/>
      <c r="C107" s="14"/>
    </row>
    <row r="108" spans="1:3" s="7" customFormat="1" ht="18" customHeight="1" x14ac:dyDescent="0.3">
      <c r="A108" s="14"/>
      <c r="B108" s="14"/>
      <c r="C108" s="14"/>
    </row>
    <row r="109" spans="1:3" s="7" customFormat="1" ht="18" customHeight="1" x14ac:dyDescent="0.3">
      <c r="A109" s="14"/>
      <c r="B109" s="14"/>
      <c r="C109" s="14"/>
    </row>
    <row r="110" spans="1:3" s="7" customFormat="1" ht="18" customHeight="1" x14ac:dyDescent="0.3">
      <c r="A110" s="14"/>
      <c r="B110" s="14"/>
      <c r="C110" s="14"/>
    </row>
    <row r="111" spans="1:3" s="7" customFormat="1" ht="18" customHeight="1" x14ac:dyDescent="0.3">
      <c r="A111" s="14"/>
      <c r="B111" s="14"/>
      <c r="C111" s="14"/>
    </row>
    <row r="112" spans="1:3" s="7" customFormat="1" ht="18" customHeight="1" x14ac:dyDescent="0.3">
      <c r="A112" s="14"/>
      <c r="B112" s="14"/>
      <c r="C112" s="14"/>
    </row>
    <row r="113" spans="1:3" s="7" customFormat="1" ht="18" customHeight="1" x14ac:dyDescent="0.3">
      <c r="A113" s="14"/>
      <c r="B113" s="14"/>
      <c r="C113" s="14"/>
    </row>
    <row r="114" spans="1:3" s="7" customFormat="1" ht="18" customHeight="1" x14ac:dyDescent="0.3">
      <c r="A114" s="14"/>
      <c r="B114" s="14"/>
      <c r="C114" s="14"/>
    </row>
    <row r="115" spans="1:3" s="7" customFormat="1" ht="18" customHeight="1" x14ac:dyDescent="0.3">
      <c r="A115" s="14"/>
      <c r="B115" s="14"/>
      <c r="C115" s="14"/>
    </row>
    <row r="116" spans="1:3" s="7" customFormat="1" ht="18" customHeight="1" x14ac:dyDescent="0.3">
      <c r="A116" s="14"/>
      <c r="B116" s="14"/>
      <c r="C116" s="14"/>
    </row>
    <row r="117" spans="1:3" s="7" customFormat="1" ht="18" customHeight="1" x14ac:dyDescent="0.3">
      <c r="A117" s="14"/>
      <c r="B117" s="14"/>
      <c r="C117" s="14"/>
    </row>
    <row r="118" spans="1:3" s="7" customFormat="1" ht="18" customHeight="1" x14ac:dyDescent="0.3">
      <c r="A118" s="14"/>
      <c r="B118" s="14"/>
      <c r="C118" s="14"/>
    </row>
    <row r="119" spans="1:3" s="7" customFormat="1" ht="18" customHeight="1" x14ac:dyDescent="0.3">
      <c r="A119" s="14"/>
      <c r="B119" s="14"/>
      <c r="C119" s="14"/>
    </row>
    <row r="120" spans="1:3" s="7" customFormat="1" ht="18" customHeight="1" x14ac:dyDescent="0.3">
      <c r="A120" s="14"/>
      <c r="B120" s="14"/>
      <c r="C120" s="14"/>
    </row>
    <row r="121" spans="1:3" s="7" customFormat="1" ht="18" customHeight="1" x14ac:dyDescent="0.3">
      <c r="A121" s="14"/>
      <c r="B121" s="14"/>
      <c r="C121" s="14"/>
    </row>
    <row r="122" spans="1:3" s="7" customFormat="1" ht="18" customHeight="1" x14ac:dyDescent="0.3">
      <c r="A122" s="14"/>
      <c r="B122" s="14"/>
      <c r="C122" s="14"/>
    </row>
    <row r="123" spans="1:3" s="7" customFormat="1" ht="18" customHeight="1" x14ac:dyDescent="0.3">
      <c r="A123" s="14"/>
      <c r="B123" s="14"/>
      <c r="C123" s="14"/>
    </row>
    <row r="124" spans="1:3" s="7" customFormat="1" ht="18" customHeight="1" x14ac:dyDescent="0.3">
      <c r="A124" s="14"/>
      <c r="B124" s="14"/>
      <c r="C124" s="14"/>
    </row>
    <row r="125" spans="1:3" s="7" customFormat="1" ht="18" customHeight="1" x14ac:dyDescent="0.3">
      <c r="A125" s="14"/>
      <c r="B125" s="14"/>
      <c r="C125" s="14"/>
    </row>
    <row r="126" spans="1:3" s="7" customFormat="1" ht="18" customHeight="1" x14ac:dyDescent="0.3">
      <c r="A126" s="14"/>
      <c r="B126" s="14"/>
      <c r="C126" s="14"/>
    </row>
    <row r="127" spans="1:3" s="7" customFormat="1" ht="18" customHeight="1" x14ac:dyDescent="0.3">
      <c r="A127" s="14"/>
      <c r="B127" s="14"/>
      <c r="C127" s="14"/>
    </row>
    <row r="128" spans="1:3" s="7" customFormat="1" ht="18" customHeight="1" x14ac:dyDescent="0.3">
      <c r="A128" s="14"/>
      <c r="B128" s="14"/>
      <c r="C128" s="14"/>
    </row>
    <row r="129" spans="1:18" s="7" customFormat="1" ht="18" customHeight="1" x14ac:dyDescent="0.3">
      <c r="A129" s="14"/>
      <c r="B129" s="14"/>
      <c r="C129" s="14"/>
    </row>
    <row r="130" spans="1:18" s="7" customFormat="1" ht="18" customHeight="1" x14ac:dyDescent="0.3">
      <c r="A130" s="14"/>
      <c r="B130" s="14"/>
      <c r="C130" s="14"/>
    </row>
    <row r="131" spans="1:18" s="7" customFormat="1" ht="18" customHeight="1" x14ac:dyDescent="0.3">
      <c r="A131" s="14"/>
      <c r="B131" s="14"/>
      <c r="C131" s="14"/>
    </row>
    <row r="132" spans="1:18" s="7" customFormat="1" ht="18" customHeight="1" x14ac:dyDescent="0.3">
      <c r="A132" s="14"/>
      <c r="B132" s="14"/>
      <c r="C132" s="14"/>
    </row>
    <row r="133" spans="1:18" s="7" customFormat="1" ht="18" customHeight="1" x14ac:dyDescent="0.3">
      <c r="A133" s="14"/>
      <c r="B133" s="14"/>
      <c r="C133" s="14"/>
    </row>
    <row r="134" spans="1:18" s="7" customFormat="1" ht="18" customHeight="1" x14ac:dyDescent="0.3">
      <c r="A134" s="14"/>
      <c r="B134" s="14"/>
      <c r="C134" s="14"/>
    </row>
    <row r="135" spans="1:18" s="7" customFormat="1" ht="18" customHeight="1" x14ac:dyDescent="0.3">
      <c r="A135" s="14"/>
      <c r="B135" s="14"/>
      <c r="C135" s="14"/>
    </row>
    <row r="136" spans="1:18" s="7" customFormat="1" ht="18" customHeight="1" x14ac:dyDescent="0.3">
      <c r="A136" s="14"/>
      <c r="B136" s="14"/>
      <c r="C136" s="14"/>
    </row>
    <row r="137" spans="1:18" s="7" customFormat="1" ht="18" customHeight="1" x14ac:dyDescent="0.3">
      <c r="A137" s="14"/>
      <c r="B137" s="14"/>
      <c r="C137" s="14"/>
    </row>
    <row r="138" spans="1:18" s="7" customFormat="1" ht="18" customHeight="1" x14ac:dyDescent="0.3">
      <c r="A138" s="14"/>
      <c r="B138" s="14"/>
      <c r="C138" s="14"/>
    </row>
    <row r="139" spans="1:18" s="7" customFormat="1" ht="18" customHeight="1" x14ac:dyDescent="0.3">
      <c r="A139" s="14"/>
      <c r="B139" s="14"/>
      <c r="C139" s="14"/>
      <c r="Q139"/>
      <c r="R139"/>
    </row>
    <row r="140" spans="1:18" s="7" customFormat="1" ht="18" customHeight="1" x14ac:dyDescent="0.3">
      <c r="A140" s="14"/>
      <c r="B140" s="14"/>
      <c r="C140" s="14"/>
      <c r="Q140"/>
      <c r="R140"/>
    </row>
    <row r="141" spans="1:18" s="7" customFormat="1" ht="18" customHeight="1" x14ac:dyDescent="0.3">
      <c r="A141" s="14"/>
      <c r="B141" s="14"/>
      <c r="C141" s="14"/>
    </row>
    <row r="142" spans="1:18" s="7" customFormat="1" ht="18" customHeight="1" x14ac:dyDescent="0.3">
      <c r="A142" s="14"/>
      <c r="B142" s="14"/>
      <c r="C142" s="14"/>
      <c r="Q142"/>
      <c r="R142"/>
    </row>
    <row r="143" spans="1:18" s="7" customFormat="1" ht="18" customHeight="1" x14ac:dyDescent="0.3">
      <c r="A143" s="14"/>
      <c r="B143" s="14"/>
      <c r="C143" s="14"/>
      <c r="Q143"/>
      <c r="R143"/>
    </row>
    <row r="144" spans="1:18" s="7" customFormat="1" ht="18" customHeight="1" x14ac:dyDescent="0.3">
      <c r="A144" s="14"/>
      <c r="B144" s="14"/>
      <c r="C144" s="14"/>
      <c r="Q144"/>
      <c r="R144"/>
    </row>
    <row r="145" spans="1:18" s="7" customFormat="1" ht="18" customHeight="1" x14ac:dyDescent="0.3">
      <c r="A145" s="14"/>
      <c r="B145" s="14"/>
      <c r="C145" s="14"/>
      <c r="Q145"/>
      <c r="R145"/>
    </row>
    <row r="146" spans="1:18" s="7" customFormat="1" ht="18" customHeight="1" x14ac:dyDescent="0.3">
      <c r="A146" s="14"/>
      <c r="B146" s="14"/>
      <c r="C146" s="14"/>
      <c r="Q146"/>
      <c r="R146"/>
    </row>
    <row r="147" spans="1:18" s="7" customFormat="1" ht="18" customHeight="1" x14ac:dyDescent="0.3">
      <c r="A147" s="14"/>
      <c r="B147" s="14"/>
      <c r="C147" s="14"/>
      <c r="Q147"/>
      <c r="R147"/>
    </row>
    <row r="148" spans="1:18" s="7" customFormat="1" ht="18" customHeight="1" x14ac:dyDescent="0.3">
      <c r="A148" s="14"/>
      <c r="B148" s="14"/>
      <c r="C148" s="14"/>
      <c r="Q148"/>
      <c r="R148"/>
    </row>
    <row r="149" spans="1:18" s="7" customFormat="1" ht="18" customHeight="1" x14ac:dyDescent="0.3">
      <c r="A149" s="14"/>
      <c r="B149" s="14"/>
      <c r="C149" s="14"/>
      <c r="Q149"/>
      <c r="R149"/>
    </row>
    <row r="150" spans="1:18" s="7" customFormat="1" ht="18" customHeight="1" x14ac:dyDescent="0.3">
      <c r="A150" s="14"/>
      <c r="B150" s="14"/>
      <c r="C150" s="14"/>
      <c r="Q150"/>
      <c r="R150"/>
    </row>
    <row r="151" spans="1:18" s="7" customFormat="1" ht="18" customHeight="1" x14ac:dyDescent="0.3">
      <c r="A151" s="14"/>
      <c r="B151" s="14"/>
      <c r="C151" s="14"/>
      <c r="Q151"/>
      <c r="R151"/>
    </row>
    <row r="152" spans="1:18" ht="18" customHeight="1" x14ac:dyDescent="0.3">
      <c r="A152" s="14"/>
      <c r="B152" s="14"/>
      <c r="C152" s="14"/>
      <c r="D152" s="7"/>
      <c r="E152" s="7"/>
    </row>
    <row r="153" spans="1:18" ht="18" customHeight="1" x14ac:dyDescent="0.3">
      <c r="A153" s="14"/>
      <c r="B153" s="14"/>
      <c r="C153" s="14"/>
      <c r="D153" s="7"/>
      <c r="E153" s="7"/>
    </row>
    <row r="154" spans="1:18" s="7" customFormat="1" ht="18" customHeight="1" x14ac:dyDescent="0.3">
      <c r="A154" s="14"/>
      <c r="B154" s="14"/>
      <c r="C154" s="14"/>
      <c r="Q154"/>
      <c r="R154"/>
    </row>
    <row r="155" spans="1:18" ht="18" customHeight="1" x14ac:dyDescent="0.3">
      <c r="A155" s="14"/>
      <c r="B155" s="14"/>
      <c r="C155" s="14"/>
      <c r="D155" s="7"/>
      <c r="E155" s="7"/>
    </row>
    <row r="156" spans="1:18" ht="18" customHeight="1" x14ac:dyDescent="0.3">
      <c r="A156" s="14"/>
      <c r="B156" s="14"/>
      <c r="C156" s="14"/>
      <c r="D156" s="7"/>
      <c r="E156" s="7"/>
    </row>
    <row r="157" spans="1:18" ht="18" customHeight="1" x14ac:dyDescent="0.3">
      <c r="A157" s="14"/>
      <c r="B157" s="14"/>
      <c r="C157" s="14"/>
      <c r="D157" s="7"/>
      <c r="E157" s="7"/>
    </row>
    <row r="158" spans="1:18" ht="18" customHeight="1" x14ac:dyDescent="0.3">
      <c r="A158" s="14"/>
      <c r="B158" s="14"/>
      <c r="C158" s="14"/>
      <c r="D158" s="7"/>
      <c r="E158" s="7"/>
    </row>
    <row r="159" spans="1:18" ht="15" x14ac:dyDescent="0.3">
      <c r="A159" s="14"/>
      <c r="B159" s="14"/>
      <c r="C159" s="14"/>
      <c r="D159" s="7"/>
      <c r="E159" s="7"/>
    </row>
    <row r="160" spans="1:18" ht="15" x14ac:dyDescent="0.3">
      <c r="A160" s="14"/>
      <c r="B160" s="14"/>
      <c r="C160" s="14"/>
      <c r="D160" s="7"/>
      <c r="E160" s="7"/>
    </row>
    <row r="161" spans="1:5" ht="15" x14ac:dyDescent="0.3">
      <c r="A161" s="14"/>
      <c r="B161" s="14"/>
      <c r="C161" s="14"/>
      <c r="D161" s="7"/>
      <c r="E161" s="7"/>
    </row>
    <row r="162" spans="1:5" ht="15" x14ac:dyDescent="0.3">
      <c r="A162" s="14"/>
      <c r="B162" s="14"/>
      <c r="C162" s="14"/>
      <c r="D162" s="7"/>
      <c r="E162" s="7"/>
    </row>
    <row r="163" spans="1:5" ht="15" x14ac:dyDescent="0.3">
      <c r="A163" s="14"/>
      <c r="B163" s="14"/>
      <c r="C163" s="14"/>
      <c r="D163" s="7"/>
      <c r="E163" s="7"/>
    </row>
    <row r="164" spans="1:5" ht="15" x14ac:dyDescent="0.3">
      <c r="A164" s="14"/>
      <c r="B164" s="14"/>
      <c r="C164" s="14"/>
      <c r="D164" s="7"/>
      <c r="E164" s="7"/>
    </row>
    <row r="165" spans="1:5" ht="15" x14ac:dyDescent="0.3">
      <c r="A165" s="14"/>
      <c r="B165" s="14"/>
      <c r="C165" s="14"/>
      <c r="D165" s="7"/>
      <c r="E165" s="7"/>
    </row>
    <row r="166" spans="1:5" ht="15" x14ac:dyDescent="0.3">
      <c r="A166" s="14"/>
      <c r="B166" s="14"/>
      <c r="C166" s="14"/>
      <c r="D166" s="7"/>
      <c r="E166" s="7"/>
    </row>
    <row r="167" spans="1:5" ht="15" x14ac:dyDescent="0.3">
      <c r="A167" s="14"/>
      <c r="B167" s="14"/>
      <c r="C167" s="14"/>
      <c r="D167" s="7"/>
      <c r="E167" s="7"/>
    </row>
    <row r="168" spans="1:5" ht="15" x14ac:dyDescent="0.3">
      <c r="A168" s="14"/>
      <c r="B168" s="14"/>
      <c r="C168" s="14"/>
      <c r="D168" s="7"/>
      <c r="E168" s="7"/>
    </row>
    <row r="169" spans="1:5" ht="15" x14ac:dyDescent="0.3">
      <c r="A169" s="14"/>
      <c r="B169" s="14"/>
      <c r="C169" s="14"/>
      <c r="D169" s="7"/>
      <c r="E169" s="7"/>
    </row>
    <row r="170" spans="1:5" ht="15" x14ac:dyDescent="0.3">
      <c r="A170" s="14"/>
      <c r="B170" s="14"/>
      <c r="C170" s="14"/>
      <c r="D170" s="7"/>
      <c r="E170" s="7"/>
    </row>
    <row r="171" spans="1:5" ht="15" x14ac:dyDescent="0.3">
      <c r="A171" s="14"/>
      <c r="B171" s="14"/>
      <c r="C171" s="14"/>
      <c r="D171" s="7"/>
      <c r="E171" s="7"/>
    </row>
    <row r="172" spans="1:5" ht="15" x14ac:dyDescent="0.3">
      <c r="A172" s="14"/>
      <c r="B172" s="14"/>
      <c r="C172" s="14"/>
      <c r="D172" s="7"/>
      <c r="E172" s="7"/>
    </row>
    <row r="173" spans="1:5" ht="15" x14ac:dyDescent="0.3">
      <c r="A173" s="14"/>
      <c r="B173" s="14"/>
      <c r="C173" s="14"/>
      <c r="D173" s="7"/>
      <c r="E173" s="7"/>
    </row>
    <row r="174" spans="1:5" ht="15" x14ac:dyDescent="0.3">
      <c r="A174" s="14"/>
      <c r="B174" s="14"/>
      <c r="C174" s="14"/>
      <c r="D174" s="7"/>
      <c r="E174" s="7"/>
    </row>
    <row r="175" spans="1:5" ht="15" x14ac:dyDescent="0.3">
      <c r="A175" s="14"/>
      <c r="B175" s="14"/>
      <c r="C175" s="14"/>
      <c r="D175" s="7"/>
      <c r="E175" s="7"/>
    </row>
    <row r="176" spans="1:5" ht="15" x14ac:dyDescent="0.3">
      <c r="A176" s="14"/>
      <c r="B176" s="14"/>
      <c r="C176" s="14"/>
      <c r="D176" s="7"/>
      <c r="E176" s="7"/>
    </row>
    <row r="177" spans="1:5" ht="15" x14ac:dyDescent="0.3">
      <c r="A177" s="14"/>
      <c r="B177" s="14"/>
      <c r="C177" s="14"/>
      <c r="D177" s="7"/>
      <c r="E177" s="7"/>
    </row>
    <row r="178" spans="1:5" ht="15" x14ac:dyDescent="0.3">
      <c r="A178" s="14"/>
      <c r="B178" s="14"/>
      <c r="C178" s="14"/>
    </row>
    <row r="179" spans="1:5" ht="15" x14ac:dyDescent="0.3">
      <c r="A179" s="14"/>
      <c r="B179" s="14"/>
      <c r="C179" s="14"/>
    </row>
    <row r="180" spans="1:5" ht="15" x14ac:dyDescent="0.3">
      <c r="A180" s="14"/>
      <c r="B180" s="14"/>
      <c r="C180" s="14"/>
      <c r="D180" s="7"/>
      <c r="E180" s="7"/>
    </row>
    <row r="181" spans="1:5" ht="15" x14ac:dyDescent="0.3">
      <c r="A181" s="14"/>
      <c r="B181" s="14"/>
      <c r="C181" s="14"/>
    </row>
    <row r="182" spans="1:5" ht="15" x14ac:dyDescent="0.3">
      <c r="A182" s="14"/>
      <c r="B182" s="14"/>
      <c r="C182" s="14"/>
    </row>
    <row r="183" spans="1:5" ht="15" x14ac:dyDescent="0.3">
      <c r="A183" s="14"/>
      <c r="B183" s="14"/>
      <c r="C183" s="14"/>
    </row>
    <row r="184" spans="1:5" ht="15" x14ac:dyDescent="0.3">
      <c r="A184" s="14"/>
      <c r="B184" s="14"/>
      <c r="C184" s="14"/>
    </row>
    <row r="185" spans="1:5" ht="15" x14ac:dyDescent="0.3">
      <c r="A185" s="14"/>
      <c r="B185" s="14"/>
      <c r="C185" s="14"/>
    </row>
    <row r="186" spans="1:5" ht="15" x14ac:dyDescent="0.3">
      <c r="A186" s="14"/>
      <c r="B186" s="14"/>
      <c r="C186" s="14"/>
    </row>
    <row r="187" spans="1:5" ht="15" x14ac:dyDescent="0.3">
      <c r="A187" s="14"/>
      <c r="B187" s="14"/>
      <c r="C187" s="14"/>
    </row>
    <row r="188" spans="1:5" ht="15" x14ac:dyDescent="0.3">
      <c r="A188" s="14"/>
      <c r="B188" s="14"/>
      <c r="C188" s="14"/>
    </row>
    <row r="189" spans="1:5" ht="15" x14ac:dyDescent="0.3">
      <c r="A189" s="14"/>
      <c r="B189" s="14"/>
      <c r="C189" s="14"/>
    </row>
    <row r="190" spans="1:5" ht="15" x14ac:dyDescent="0.3">
      <c r="A190" s="14"/>
      <c r="B190" s="14"/>
      <c r="C190" s="14"/>
    </row>
    <row r="191" spans="1:5" ht="15" x14ac:dyDescent="0.3">
      <c r="A191" s="14"/>
      <c r="B191" s="14"/>
      <c r="C191" s="14"/>
    </row>
    <row r="192" spans="1:5" ht="15" x14ac:dyDescent="0.3">
      <c r="A192" s="14"/>
      <c r="B192" s="14"/>
      <c r="C192" s="14"/>
    </row>
    <row r="193" spans="1:3" ht="15" x14ac:dyDescent="0.3">
      <c r="A193" s="14"/>
      <c r="B193" s="14"/>
      <c r="C193" s="14"/>
    </row>
    <row r="194" spans="1:3" ht="15" x14ac:dyDescent="0.3">
      <c r="A194" s="14"/>
      <c r="B194" s="14"/>
      <c r="C194" s="14"/>
    </row>
    <row r="195" spans="1:3" ht="15" x14ac:dyDescent="0.3">
      <c r="A195" s="14"/>
      <c r="B195" s="14"/>
      <c r="C195" s="14"/>
    </row>
    <row r="196" spans="1:3" ht="15" x14ac:dyDescent="0.3">
      <c r="A196" s="14"/>
      <c r="B196" s="14"/>
      <c r="C196" s="14"/>
    </row>
    <row r="197" spans="1:3" ht="15" x14ac:dyDescent="0.3">
      <c r="A197" s="14"/>
      <c r="B197" s="14"/>
      <c r="C197" s="14"/>
    </row>
    <row r="198" spans="1:3" ht="15" x14ac:dyDescent="0.3">
      <c r="A198" s="14"/>
      <c r="B198" s="14"/>
      <c r="C198" s="14"/>
    </row>
    <row r="199" spans="1:3" ht="15" x14ac:dyDescent="0.3">
      <c r="A199" s="14"/>
      <c r="B199" s="14"/>
      <c r="C199" s="14"/>
    </row>
    <row r="200" spans="1:3" ht="15" x14ac:dyDescent="0.3">
      <c r="A200" s="14"/>
      <c r="B200" s="14"/>
      <c r="C200" s="14"/>
    </row>
    <row r="201" spans="1:3" ht="15" x14ac:dyDescent="0.3">
      <c r="A201" s="14"/>
      <c r="B201" s="14"/>
      <c r="C201" s="14"/>
    </row>
    <row r="202" spans="1:3" ht="15" x14ac:dyDescent="0.3">
      <c r="A202" s="14"/>
      <c r="B202" s="14"/>
      <c r="C202" s="14"/>
    </row>
    <row r="203" spans="1:3" ht="15" x14ac:dyDescent="0.3">
      <c r="A203" s="14"/>
      <c r="B203" s="14"/>
      <c r="C203" s="14"/>
    </row>
    <row r="204" spans="1:3" ht="15" x14ac:dyDescent="0.3">
      <c r="A204" s="14"/>
      <c r="B204" s="14"/>
      <c r="C204" s="14"/>
    </row>
    <row r="205" spans="1:3" ht="15" x14ac:dyDescent="0.3">
      <c r="A205" s="14"/>
      <c r="B205" s="14"/>
      <c r="C205" s="14"/>
    </row>
    <row r="206" spans="1:3" ht="15" x14ac:dyDescent="0.3">
      <c r="A206" s="14"/>
      <c r="B206" s="14"/>
      <c r="C206" s="14"/>
    </row>
    <row r="207" spans="1:3" ht="15" x14ac:dyDescent="0.3">
      <c r="A207" s="14"/>
      <c r="B207" s="14"/>
      <c r="C207" s="14"/>
    </row>
    <row r="208" spans="1:3" ht="15" x14ac:dyDescent="0.3">
      <c r="A208" s="14"/>
      <c r="B208" s="14"/>
      <c r="C208" s="14"/>
    </row>
    <row r="209" spans="1:3" ht="15" x14ac:dyDescent="0.3">
      <c r="A209" s="14"/>
      <c r="B209" s="14"/>
      <c r="C209" s="14"/>
    </row>
    <row r="210" spans="1:3" ht="15" x14ac:dyDescent="0.3">
      <c r="A210" s="14"/>
      <c r="B210" s="14"/>
      <c r="C210" s="14"/>
    </row>
    <row r="211" spans="1:3" ht="15" x14ac:dyDescent="0.3">
      <c r="A211" s="14"/>
      <c r="B211" s="14"/>
      <c r="C211" s="14"/>
    </row>
    <row r="212" spans="1:3" ht="15" x14ac:dyDescent="0.3">
      <c r="A212" s="14"/>
      <c r="B212" s="14"/>
      <c r="C212" s="14"/>
    </row>
    <row r="213" spans="1:3" ht="15" x14ac:dyDescent="0.3">
      <c r="A213" s="14"/>
      <c r="B213" s="14"/>
      <c r="C213" s="14"/>
    </row>
    <row r="214" spans="1:3" ht="15" x14ac:dyDescent="0.3">
      <c r="A214" s="14"/>
      <c r="B214" s="14"/>
      <c r="C214" s="14"/>
    </row>
    <row r="215" spans="1:3" ht="15" x14ac:dyDescent="0.3">
      <c r="A215" s="14"/>
      <c r="B215" s="14"/>
      <c r="C215" s="14"/>
    </row>
    <row r="216" spans="1:3" ht="15" x14ac:dyDescent="0.3">
      <c r="A216" s="14"/>
      <c r="B216" s="14"/>
      <c r="C216" s="14"/>
    </row>
    <row r="217" spans="1:3" ht="15" x14ac:dyDescent="0.3">
      <c r="A217" s="14"/>
      <c r="B217" s="14"/>
      <c r="C217" s="14"/>
    </row>
    <row r="218" spans="1:3" ht="15" x14ac:dyDescent="0.3">
      <c r="A218" s="14"/>
      <c r="B218" s="14"/>
      <c r="C218" s="14"/>
    </row>
    <row r="219" spans="1:3" ht="15" x14ac:dyDescent="0.3">
      <c r="A219" s="14"/>
      <c r="B219" s="14"/>
      <c r="C219" s="14"/>
    </row>
    <row r="220" spans="1:3" ht="15" x14ac:dyDescent="0.3">
      <c r="A220" s="14"/>
      <c r="B220" s="14"/>
      <c r="C220" s="14"/>
    </row>
    <row r="221" spans="1:3" ht="15" x14ac:dyDescent="0.3">
      <c r="A221" s="14"/>
      <c r="B221" s="14"/>
      <c r="C221" s="14"/>
    </row>
    <row r="222" spans="1:3" ht="15" x14ac:dyDescent="0.3">
      <c r="A222" s="14"/>
      <c r="B222" s="14"/>
      <c r="C222" s="14"/>
    </row>
    <row r="223" spans="1:3" ht="15" x14ac:dyDescent="0.3">
      <c r="A223" s="14"/>
      <c r="B223" s="14"/>
      <c r="C223" s="14"/>
    </row>
    <row r="224" spans="1:3" ht="15" x14ac:dyDescent="0.3">
      <c r="A224" s="14"/>
      <c r="B224" s="14"/>
      <c r="C224" s="14"/>
    </row>
    <row r="225" spans="1:3" ht="15" x14ac:dyDescent="0.3">
      <c r="A225" s="14"/>
      <c r="B225" s="14"/>
      <c r="C225" s="14"/>
    </row>
    <row r="226" spans="1:3" ht="15" x14ac:dyDescent="0.3">
      <c r="A226" s="14"/>
      <c r="B226" s="14"/>
      <c r="C226" s="14"/>
    </row>
    <row r="227" spans="1:3" ht="15" x14ac:dyDescent="0.3">
      <c r="A227" s="14"/>
      <c r="B227" s="14"/>
      <c r="C227" s="14"/>
    </row>
    <row r="228" spans="1:3" ht="15" x14ac:dyDescent="0.3">
      <c r="A228" s="14"/>
      <c r="B228" s="14"/>
      <c r="C228" s="14"/>
    </row>
    <row r="229" spans="1:3" ht="15" x14ac:dyDescent="0.3">
      <c r="A229" s="14"/>
      <c r="B229" s="14"/>
      <c r="C229" s="14"/>
    </row>
    <row r="230" spans="1:3" ht="15" x14ac:dyDescent="0.3">
      <c r="A230" s="14"/>
      <c r="B230" s="14"/>
      <c r="C230" s="14"/>
    </row>
    <row r="231" spans="1:3" ht="15" x14ac:dyDescent="0.3">
      <c r="A231" s="14"/>
      <c r="B231" s="14"/>
      <c r="C231" s="14"/>
    </row>
    <row r="232" spans="1:3" ht="15" x14ac:dyDescent="0.3">
      <c r="A232" s="14"/>
      <c r="B232" s="14"/>
      <c r="C232" s="14"/>
    </row>
    <row r="233" spans="1:3" ht="15" x14ac:dyDescent="0.3">
      <c r="A233" s="14"/>
      <c r="B233" s="14"/>
      <c r="C233" s="14"/>
    </row>
    <row r="234" spans="1:3" ht="15" x14ac:dyDescent="0.3">
      <c r="A234" s="14"/>
      <c r="B234" s="14"/>
      <c r="C234" s="14"/>
    </row>
    <row r="235" spans="1:3" ht="15" x14ac:dyDescent="0.3">
      <c r="A235" s="14"/>
      <c r="B235" s="14"/>
      <c r="C235" s="14"/>
    </row>
    <row r="236" spans="1:3" ht="15" x14ac:dyDescent="0.3">
      <c r="A236" s="14"/>
      <c r="B236" s="14"/>
      <c r="C236" s="14"/>
    </row>
    <row r="237" spans="1:3" ht="15" x14ac:dyDescent="0.3">
      <c r="A237" s="14"/>
      <c r="B237" s="14"/>
      <c r="C237" s="14"/>
    </row>
    <row r="238" spans="1:3" ht="15" x14ac:dyDescent="0.3">
      <c r="A238" s="14"/>
      <c r="B238" s="14"/>
      <c r="C238" s="14"/>
    </row>
    <row r="239" spans="1:3" ht="15" x14ac:dyDescent="0.3">
      <c r="A239" s="14"/>
      <c r="B239" s="14"/>
      <c r="C239" s="14"/>
    </row>
    <row r="240" spans="1:3" ht="15" x14ac:dyDescent="0.3">
      <c r="A240" s="14"/>
      <c r="B240" s="14"/>
      <c r="C240" s="14"/>
    </row>
    <row r="241" spans="1:3" ht="15" x14ac:dyDescent="0.3">
      <c r="A241" s="14"/>
      <c r="B241" s="14"/>
      <c r="C241" s="14"/>
    </row>
    <row r="242" spans="1:3" ht="15" x14ac:dyDescent="0.3">
      <c r="A242" s="14"/>
      <c r="B242" s="14"/>
      <c r="C242" s="14"/>
    </row>
    <row r="243" spans="1:3" ht="15" x14ac:dyDescent="0.3">
      <c r="A243" s="14"/>
      <c r="B243" s="14"/>
      <c r="C243" s="14"/>
    </row>
    <row r="244" spans="1:3" ht="15" x14ac:dyDescent="0.3">
      <c r="A244" s="14"/>
      <c r="B244" s="14"/>
      <c r="C244" s="14"/>
    </row>
    <row r="245" spans="1:3" ht="15" x14ac:dyDescent="0.3">
      <c r="A245" s="14"/>
      <c r="B245" s="14"/>
      <c r="C245" s="14"/>
    </row>
    <row r="246" spans="1:3" ht="15" x14ac:dyDescent="0.3">
      <c r="C246" s="14"/>
    </row>
    <row r="247" spans="1:3" ht="15" x14ac:dyDescent="0.3">
      <c r="C247" s="14"/>
    </row>
    <row r="248" spans="1:3" ht="15" x14ac:dyDescent="0.3">
      <c r="C248" s="14"/>
    </row>
    <row r="249" spans="1:3" ht="15" x14ac:dyDescent="0.3">
      <c r="C249" s="14"/>
    </row>
    <row r="250" spans="1:3" ht="15" x14ac:dyDescent="0.3">
      <c r="C250" s="14"/>
    </row>
  </sheetData>
  <mergeCells count="72">
    <mergeCell ref="AH1:AI2"/>
    <mergeCell ref="AK1:AL2"/>
    <mergeCell ref="AN1:AO2"/>
    <mergeCell ref="AQ1:AR2"/>
    <mergeCell ref="AH3:AH4"/>
    <mergeCell ref="AI3:AI4"/>
    <mergeCell ref="AK3:AK4"/>
    <mergeCell ref="AL3:AL4"/>
    <mergeCell ref="AN3:AN4"/>
    <mergeCell ref="AO3:AO4"/>
    <mergeCell ref="AQ3:AQ4"/>
    <mergeCell ref="AR3:AR4"/>
    <mergeCell ref="V1:W2"/>
    <mergeCell ref="V3:V4"/>
    <mergeCell ref="W3:W4"/>
    <mergeCell ref="S1:T2"/>
    <mergeCell ref="S3:S4"/>
    <mergeCell ref="T3:T4"/>
    <mergeCell ref="G1:H2"/>
    <mergeCell ref="G3:G4"/>
    <mergeCell ref="H3:H4"/>
    <mergeCell ref="P1:Q2"/>
    <mergeCell ref="P3:P4"/>
    <mergeCell ref="Q3:Q4"/>
    <mergeCell ref="J1:K2"/>
    <mergeCell ref="J3:J4"/>
    <mergeCell ref="K3:K4"/>
    <mergeCell ref="M1:N2"/>
    <mergeCell ref="M3:M4"/>
    <mergeCell ref="N3:N4"/>
    <mergeCell ref="Y1:Z2"/>
    <mergeCell ref="AB1:AC2"/>
    <mergeCell ref="AE1:AF2"/>
    <mergeCell ref="Y3:Y4"/>
    <mergeCell ref="Z3:Z4"/>
    <mergeCell ref="AB3:AB4"/>
    <mergeCell ref="AC3:AC4"/>
    <mergeCell ref="AE3:AE4"/>
    <mergeCell ref="AF3:AF4"/>
    <mergeCell ref="D1:E2"/>
    <mergeCell ref="D3:D4"/>
    <mergeCell ref="E3:E4"/>
    <mergeCell ref="A15:B16"/>
    <mergeCell ref="A17:A18"/>
    <mergeCell ref="B17:B18"/>
    <mergeCell ref="E17:E18"/>
    <mergeCell ref="D17:D18"/>
    <mergeCell ref="D15:E16"/>
    <mergeCell ref="A1:B2"/>
    <mergeCell ref="A3:A4"/>
    <mergeCell ref="B3:B4"/>
    <mergeCell ref="G15:H16"/>
    <mergeCell ref="G17:G18"/>
    <mergeCell ref="H17:H18"/>
    <mergeCell ref="J15:K16"/>
    <mergeCell ref="J17:J18"/>
    <mergeCell ref="K17:K18"/>
    <mergeCell ref="M15:N16"/>
    <mergeCell ref="M17:M18"/>
    <mergeCell ref="N17:N18"/>
    <mergeCell ref="AH15:AI16"/>
    <mergeCell ref="AK15:AL16"/>
    <mergeCell ref="AN15:AO16"/>
    <mergeCell ref="AQ15:AR16"/>
    <mergeCell ref="AH17:AH18"/>
    <mergeCell ref="AI17:AI18"/>
    <mergeCell ref="AK17:AK18"/>
    <mergeCell ref="AL17:AL18"/>
    <mergeCell ref="AN17:AN18"/>
    <mergeCell ref="AO17:AO18"/>
    <mergeCell ref="AQ17:AQ18"/>
    <mergeCell ref="AR17:AR18"/>
  </mergeCells>
  <phoneticPr fontId="3" type="noConversion"/>
  <pageMargins left="0.7" right="0.7" top="0.75" bottom="0.75" header="0.3" footer="0.3"/>
  <pageSetup paperSize="9" scale="82" orientation="portrait" r:id="rId1"/>
  <rowBreaks count="1" manualBreakCount="1">
    <brk id="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273"/>
  <sheetViews>
    <sheetView tabSelected="1" topLeftCell="G1" zoomScale="70" zoomScaleNormal="70" workbookViewId="0">
      <selection activeCell="AI9" sqref="AI9"/>
    </sheetView>
  </sheetViews>
  <sheetFormatPr defaultColWidth="8.86328125" defaultRowHeight="14.15" x14ac:dyDescent="0.3"/>
  <cols>
    <col min="1" max="1" width="4.59765625" style="19" customWidth="1"/>
    <col min="2" max="2" width="4.796875" style="18" customWidth="1"/>
    <col min="3" max="3" width="7.86328125" style="19" customWidth="1"/>
    <col min="4" max="4" width="9.86328125" style="60" bestFit="1" customWidth="1"/>
    <col min="5" max="5" width="5.265625" style="18" customWidth="1"/>
    <col min="6" max="6" width="5.265625" style="19" customWidth="1"/>
    <col min="7" max="7" width="9.86328125" style="18" bestFit="1" customWidth="1"/>
    <col min="8" max="8" width="5.265625" style="18" customWidth="1"/>
    <col min="9" max="9" width="5.265625" style="19" customWidth="1"/>
    <col min="10" max="10" width="5.265625" style="18" customWidth="1"/>
    <col min="11" max="13" width="5.265625" style="19" customWidth="1"/>
    <col min="14" max="14" width="8.6640625" style="19" customWidth="1"/>
    <col min="15" max="16" width="5.265625" style="19" customWidth="1"/>
    <col min="17" max="17" width="9.3984375" style="19" customWidth="1"/>
    <col min="18" max="21" width="5.265625" style="19" customWidth="1"/>
    <col min="22" max="22" width="7.06640625" style="19" customWidth="1"/>
    <col min="23" max="23" width="5.265625" style="19" customWidth="1"/>
    <col min="24" max="24" width="2" style="1" customWidth="1"/>
    <col min="25" max="25" width="5.796875" style="1" customWidth="1"/>
    <col min="26" max="26" width="4" style="1" customWidth="1"/>
    <col min="27" max="27" width="8.86328125" style="1" hidden="1" customWidth="1"/>
    <col min="28" max="28" width="2.06640625" style="1" customWidth="1"/>
    <col min="29" max="29" width="2.59765625" style="1" customWidth="1"/>
    <col min="30" max="30" width="5.19921875" style="1" customWidth="1"/>
    <col min="31" max="41" width="5.796875" style="1" customWidth="1"/>
    <col min="42" max="45" width="5.796875" style="1" hidden="1" customWidth="1"/>
    <col min="46" max="54" width="5.796875" style="1" customWidth="1"/>
    <col min="55" max="16384" width="8.86328125" style="1"/>
  </cols>
  <sheetData>
    <row r="1" spans="1:49" ht="29.25" customHeight="1" x14ac:dyDescent="0.55000000000000004">
      <c r="A1" s="133" t="s">
        <v>25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8"/>
      <c r="Y1" s="8"/>
      <c r="Z1" s="8"/>
    </row>
    <row r="2" spans="1:49" ht="33.75" customHeight="1" thickBot="1" x14ac:dyDescent="0.35">
      <c r="A2" s="160" t="s">
        <v>84</v>
      </c>
      <c r="B2" s="160"/>
      <c r="C2" s="160"/>
      <c r="D2" s="160"/>
      <c r="E2" s="160"/>
      <c r="F2" s="160"/>
      <c r="G2" s="160"/>
      <c r="H2" s="160"/>
      <c r="I2" s="11"/>
      <c r="J2" s="110"/>
      <c r="K2" s="11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28"/>
      <c r="W2" s="28"/>
      <c r="X2" s="28"/>
      <c r="Y2" s="28"/>
      <c r="Z2" s="28"/>
    </row>
    <row r="3" spans="1:49" s="3" customFormat="1" ht="45" customHeight="1" thickBot="1" x14ac:dyDescent="0.35">
      <c r="A3" s="119" t="s">
        <v>19</v>
      </c>
      <c r="B3" s="120" t="s">
        <v>0</v>
      </c>
      <c r="C3" s="124" t="s">
        <v>1</v>
      </c>
      <c r="D3" s="163" t="s">
        <v>21</v>
      </c>
      <c r="E3" s="164"/>
      <c r="F3" s="121" t="s">
        <v>26</v>
      </c>
      <c r="G3" s="163" t="s">
        <v>22</v>
      </c>
      <c r="H3" s="164"/>
      <c r="I3" s="121" t="s">
        <v>26</v>
      </c>
      <c r="J3" s="122" t="s">
        <v>23</v>
      </c>
      <c r="K3" s="121" t="s">
        <v>26</v>
      </c>
      <c r="L3" s="92" t="s">
        <v>7</v>
      </c>
      <c r="M3" s="125" t="s">
        <v>8</v>
      </c>
      <c r="N3" s="163" t="s">
        <v>37</v>
      </c>
      <c r="O3" s="164"/>
      <c r="P3" s="165"/>
      <c r="Q3" s="163" t="s">
        <v>38</v>
      </c>
      <c r="R3" s="164"/>
      <c r="S3" s="165"/>
      <c r="T3" s="123" t="s">
        <v>18</v>
      </c>
      <c r="U3" s="121" t="s">
        <v>26</v>
      </c>
      <c r="V3" s="129" t="s">
        <v>2</v>
      </c>
      <c r="W3" s="121" t="s">
        <v>20</v>
      </c>
      <c r="X3" s="2"/>
      <c r="Y3" s="158" t="s">
        <v>3</v>
      </c>
      <c r="Z3" s="159"/>
      <c r="AC3" s="152" t="s">
        <v>55</v>
      </c>
      <c r="AD3" s="153"/>
      <c r="AE3" s="75" t="s">
        <v>58</v>
      </c>
      <c r="AF3" s="88" t="s">
        <v>57</v>
      </c>
      <c r="AG3" s="89" t="s">
        <v>59</v>
      </c>
      <c r="AH3" s="10" t="s">
        <v>60</v>
      </c>
      <c r="AI3" s="90" t="s">
        <v>61</v>
      </c>
      <c r="AJ3" s="9" t="s">
        <v>52</v>
      </c>
      <c r="AK3" s="9" t="s">
        <v>53</v>
      </c>
      <c r="AL3" s="93" t="s">
        <v>62</v>
      </c>
      <c r="AM3" s="94" t="s">
        <v>47</v>
      </c>
      <c r="AN3" s="94" t="s">
        <v>49</v>
      </c>
      <c r="AO3" s="95" t="s">
        <v>50</v>
      </c>
      <c r="AP3" s="96" t="s">
        <v>63</v>
      </c>
      <c r="AQ3" s="94" t="s">
        <v>64</v>
      </c>
      <c r="AR3" s="94" t="s">
        <v>65</v>
      </c>
      <c r="AS3" s="95" t="s">
        <v>66</v>
      </c>
      <c r="AT3" s="93" t="s">
        <v>67</v>
      </c>
      <c r="AU3" s="94" t="s">
        <v>68</v>
      </c>
      <c r="AV3" s="94" t="s">
        <v>69</v>
      </c>
      <c r="AW3" s="95" t="s">
        <v>70</v>
      </c>
    </row>
    <row r="4" spans="1:49" s="5" customFormat="1" ht="24.9" customHeight="1" x14ac:dyDescent="0.3">
      <c r="A4" s="131">
        <v>4</v>
      </c>
      <c r="B4" s="131">
        <v>17</v>
      </c>
      <c r="C4" s="131" t="s">
        <v>86</v>
      </c>
      <c r="D4" s="116" t="s">
        <v>318</v>
      </c>
      <c r="E4" s="132">
        <v>91</v>
      </c>
      <c r="F4" s="115">
        <v>2</v>
      </c>
      <c r="G4" s="116" t="s">
        <v>319</v>
      </c>
      <c r="H4" s="132">
        <v>92</v>
      </c>
      <c r="I4" s="115">
        <v>1</v>
      </c>
      <c r="J4" s="132">
        <v>90</v>
      </c>
      <c r="K4" s="115">
        <v>1</v>
      </c>
      <c r="L4" s="114">
        <f t="shared" ref="L4" si="0">SUM(E4,H4,J4)</f>
        <v>273</v>
      </c>
      <c r="M4" s="127">
        <f t="shared" ref="M4:M67" si="1">RANK(L4,$L$4:$L$491)</f>
        <v>1</v>
      </c>
      <c r="N4" s="116" t="s">
        <v>320</v>
      </c>
      <c r="O4" s="132">
        <v>50</v>
      </c>
      <c r="P4" s="117">
        <v>1</v>
      </c>
      <c r="Q4" s="116" t="s">
        <v>321</v>
      </c>
      <c r="R4" s="132">
        <v>50</v>
      </c>
      <c r="S4" s="117">
        <v>1</v>
      </c>
      <c r="T4" s="132">
        <v>50</v>
      </c>
      <c r="U4" s="115">
        <v>1</v>
      </c>
      <c r="V4" s="130">
        <f t="shared" ref="V4" si="2">SUM(L4,T4,R4,O4)</f>
        <v>423</v>
      </c>
      <c r="W4" s="118">
        <f t="shared" ref="W4" si="3">RANK(V4,$V$4:$V$491)</f>
        <v>1</v>
      </c>
      <c r="X4" s="4"/>
      <c r="Y4" s="33">
        <v>450</v>
      </c>
      <c r="Z4" s="34"/>
      <c r="AA4" s="5">
        <v>449</v>
      </c>
      <c r="AC4" s="53">
        <v>1</v>
      </c>
      <c r="AD4" s="63" t="s">
        <v>54</v>
      </c>
      <c r="AE4" s="64">
        <f t="shared" ref="AE4:AE12" si="4">COUNTIFS($D$4:$D$491,$AE$3,$F$4:$F$491,AC4)</f>
        <v>0</v>
      </c>
      <c r="AF4" s="82">
        <f t="shared" ref="AF4:AF12" si="5">COUNTIFS($D$4:$D$491,$AF$3,$F$4:$F$491,AC4)</f>
        <v>0</v>
      </c>
      <c r="AG4" s="64">
        <f t="shared" ref="AG4:AG12" si="6">COUNTIFS($G$4:$G$491,$AG$3,$I$4:$I$491,AC4)</f>
        <v>0</v>
      </c>
      <c r="AH4" s="51">
        <f t="shared" ref="AH4:AH12" si="7">COUNTIFS($G$4:$G$491,$AH$3,$I$4:$I$491,AC4)</f>
        <v>0</v>
      </c>
      <c r="AI4" s="82">
        <f t="shared" ref="AI4:AI12" si="8">COUNTIFS($G$4:$G$491,$AI$3,$I$4:$I$491,AC4)</f>
        <v>0</v>
      </c>
      <c r="AJ4" s="85">
        <f t="shared" ref="AJ4:AJ12" si="9">COUNTIF($K$4:$K$491,AC4)</f>
        <v>23</v>
      </c>
      <c r="AK4" s="111">
        <f t="shared" ref="AK4:AK12" si="10">COUNTIF($U$4:$U$491,AC4)</f>
        <v>100</v>
      </c>
      <c r="AL4" s="105">
        <f t="shared" ref="AL4:AL12" si="11">COUNTIFS($N$4:$N$491,$AL$3,$P$4:$P$491,$AC4)+COUNTIFS($Q$4:$Q$491,$AL$3,$S$4:$S$491,$AC4)</f>
        <v>0</v>
      </c>
      <c r="AM4" s="76">
        <f t="shared" ref="AM4:AM12" si="12">COUNTIFS($N$4:$N$491,$AM$3,$P$4:$P$491,$AC4)+COUNTIFS($Q$4:$Q$491,$AM$3,$S$4:$S$491,$AC4)</f>
        <v>0</v>
      </c>
      <c r="AN4" s="76">
        <f t="shared" ref="AN4:AN12" si="13">COUNTIFS($N$4:$N$491,$AN$3,$P$4:$P$491,$AC4)+COUNTIFS($Q$4:$Q$491,$AN$3,$S$4:$S$491,$AC4)</f>
        <v>0</v>
      </c>
      <c r="AO4" s="106">
        <f t="shared" ref="AO4:AO12" si="14">COUNTIFS($N$4:$N$491,$AO$3,$P$4:$P$491,$AC4)+COUNTIFS($Q$4:$Q$491,$AO$3,$S$4:$S$491,$AC4)</f>
        <v>0</v>
      </c>
      <c r="AP4" s="78">
        <f t="shared" ref="AP4:AP12" si="15">COUNTIFS($N$4:$N$491,$AP$3,$P$4:$P$491,$AC4)</f>
        <v>0</v>
      </c>
      <c r="AQ4" s="76">
        <f t="shared" ref="AQ4:AQ12" si="16">COUNTIFS($N$4:$N$491,$AQ$3,$P$4:$P$491,$AC4)</f>
        <v>0</v>
      </c>
      <c r="AR4" s="76">
        <f t="shared" ref="AR4:AR12" si="17">COUNTIFS($N$4:$N$491,$AR$3,$P$4:$P$491,$AC4)</f>
        <v>0</v>
      </c>
      <c r="AS4" s="83">
        <f t="shared" ref="AS4:AS12" si="18">COUNTIFS($N$4:$N$491,$AS$3,$P$4:$P$491,$AC4)</f>
        <v>0</v>
      </c>
      <c r="AT4" s="105">
        <f t="shared" ref="AT4:AT12" si="19">COUNTIFS($N$4:$N$491,$AT$3,$P$4:$P$491,$AC4)+COUNTIFS($Q$4:$Q$491,$AT$3,$S$4:$S$491,$AC4)</f>
        <v>0</v>
      </c>
      <c r="AU4" s="76">
        <f t="shared" ref="AU4:AU12" si="20">COUNTIFS($N$4:$N$491,$AU$3,$P$4:$P$491,$AC4)+COUNTIFS($Q$4:$Q$491,$AU$3,$S$4:$S$491,$AC4)</f>
        <v>0</v>
      </c>
      <c r="AV4" s="76">
        <f t="shared" ref="AV4:AV12" si="21">COUNTIFS($N$4:$N$491,$AV$3,$P$4:$P$491,$AC4)+COUNTIFS($Q$4:$Q$491,$AV$3,$S$4:$S$491,$AC4)</f>
        <v>0</v>
      </c>
      <c r="AW4" s="106">
        <f t="shared" ref="AW4:AW12" si="22">COUNTIFS($N$4:$N$491,$AW$3,$P$4:$P$491,$AC4)+COUNTIFS($Q$4:$Q$491,$AW$3,$S$4:$S$491,$AC4)</f>
        <v>0</v>
      </c>
    </row>
    <row r="5" spans="1:49" s="5" customFormat="1" ht="24.9" customHeight="1" x14ac:dyDescent="0.3">
      <c r="A5" s="131">
        <v>2</v>
      </c>
      <c r="B5" s="131">
        <v>4</v>
      </c>
      <c r="C5" s="131" t="s">
        <v>87</v>
      </c>
      <c r="D5" s="116" t="s">
        <v>318</v>
      </c>
      <c r="E5" s="132">
        <v>89</v>
      </c>
      <c r="F5" s="115">
        <v>2</v>
      </c>
      <c r="G5" s="116" t="s">
        <v>319</v>
      </c>
      <c r="H5" s="132">
        <v>88</v>
      </c>
      <c r="I5" s="115">
        <v>1</v>
      </c>
      <c r="J5" s="132">
        <v>95</v>
      </c>
      <c r="K5" s="115">
        <v>1</v>
      </c>
      <c r="L5" s="114">
        <f t="shared" ref="L5:L68" si="23">SUM(E5,H5,J5)</f>
        <v>272</v>
      </c>
      <c r="M5" s="127">
        <f t="shared" si="1"/>
        <v>3</v>
      </c>
      <c r="N5" s="116" t="s">
        <v>320</v>
      </c>
      <c r="O5" s="132">
        <v>50</v>
      </c>
      <c r="P5" s="117">
        <v>1</v>
      </c>
      <c r="Q5" s="116" t="s">
        <v>321</v>
      </c>
      <c r="R5" s="132">
        <v>50</v>
      </c>
      <c r="S5" s="117">
        <v>1</v>
      </c>
      <c r="T5" s="132">
        <v>50</v>
      </c>
      <c r="U5" s="115">
        <v>1</v>
      </c>
      <c r="V5" s="130">
        <f t="shared" ref="V5:V68" si="24">SUM(L5,T5,R5,O5)</f>
        <v>422</v>
      </c>
      <c r="W5" s="118">
        <f t="shared" ref="W5:W68" si="25">RANK(V5,$V$4:$V$491)</f>
        <v>2</v>
      </c>
      <c r="X5" s="4"/>
      <c r="Y5" s="35">
        <v>440</v>
      </c>
      <c r="Z5" s="36">
        <f t="shared" ref="Z5:Z11" si="26">FREQUENCY($V$4:$V$236,AA4:AA39)</f>
        <v>0</v>
      </c>
      <c r="AA5" s="5">
        <v>439</v>
      </c>
      <c r="AC5" s="50">
        <v>2</v>
      </c>
      <c r="AD5" s="61" t="s">
        <v>54</v>
      </c>
      <c r="AE5" s="62">
        <f t="shared" si="4"/>
        <v>0</v>
      </c>
      <c r="AF5" s="48">
        <f t="shared" si="5"/>
        <v>0</v>
      </c>
      <c r="AG5" s="62">
        <f t="shared" si="6"/>
        <v>0</v>
      </c>
      <c r="AH5" s="49">
        <f t="shared" si="7"/>
        <v>0</v>
      </c>
      <c r="AI5" s="48">
        <f t="shared" si="8"/>
        <v>0</v>
      </c>
      <c r="AJ5" s="84">
        <f t="shared" si="9"/>
        <v>36</v>
      </c>
      <c r="AK5" s="112">
        <f t="shared" si="10"/>
        <v>31</v>
      </c>
      <c r="AL5" s="62">
        <f t="shared" si="11"/>
        <v>0</v>
      </c>
      <c r="AM5" s="49">
        <f t="shared" si="12"/>
        <v>0</v>
      </c>
      <c r="AN5" s="49">
        <f t="shared" si="13"/>
        <v>0</v>
      </c>
      <c r="AO5" s="17">
        <f t="shared" si="14"/>
        <v>0</v>
      </c>
      <c r="AP5" s="74">
        <f t="shared" si="15"/>
        <v>0</v>
      </c>
      <c r="AQ5" s="49">
        <f t="shared" si="16"/>
        <v>0</v>
      </c>
      <c r="AR5" s="49">
        <f t="shared" si="17"/>
        <v>0</v>
      </c>
      <c r="AS5" s="48">
        <f t="shared" si="18"/>
        <v>0</v>
      </c>
      <c r="AT5" s="62">
        <f t="shared" si="19"/>
        <v>0</v>
      </c>
      <c r="AU5" s="49">
        <f t="shared" si="20"/>
        <v>0</v>
      </c>
      <c r="AV5" s="49">
        <f t="shared" si="21"/>
        <v>0</v>
      </c>
      <c r="AW5" s="17">
        <f t="shared" si="22"/>
        <v>0</v>
      </c>
    </row>
    <row r="6" spans="1:49" s="5" customFormat="1" ht="24.9" customHeight="1" x14ac:dyDescent="0.3">
      <c r="A6" s="131">
        <v>1</v>
      </c>
      <c r="B6" s="131">
        <v>28</v>
      </c>
      <c r="C6" s="131" t="s">
        <v>88</v>
      </c>
      <c r="D6" s="116" t="s">
        <v>318</v>
      </c>
      <c r="E6" s="132">
        <v>85</v>
      </c>
      <c r="F6" s="115">
        <v>2</v>
      </c>
      <c r="G6" s="116" t="s">
        <v>319</v>
      </c>
      <c r="H6" s="132">
        <v>88</v>
      </c>
      <c r="I6" s="115">
        <v>1</v>
      </c>
      <c r="J6" s="132">
        <v>100</v>
      </c>
      <c r="K6" s="115">
        <v>1</v>
      </c>
      <c r="L6" s="114">
        <f t="shared" si="23"/>
        <v>273</v>
      </c>
      <c r="M6" s="127">
        <f t="shared" si="1"/>
        <v>1</v>
      </c>
      <c r="N6" s="116" t="s">
        <v>320</v>
      </c>
      <c r="O6" s="132">
        <v>45.5</v>
      </c>
      <c r="P6" s="117">
        <v>3</v>
      </c>
      <c r="Q6" s="116" t="s">
        <v>321</v>
      </c>
      <c r="R6" s="132">
        <v>50</v>
      </c>
      <c r="S6" s="117">
        <v>1</v>
      </c>
      <c r="T6" s="132">
        <v>44</v>
      </c>
      <c r="U6" s="115">
        <v>1</v>
      </c>
      <c r="V6" s="130">
        <f t="shared" si="24"/>
        <v>412.5</v>
      </c>
      <c r="W6" s="118">
        <f t="shared" si="25"/>
        <v>3</v>
      </c>
      <c r="X6" s="4"/>
      <c r="Y6" s="35">
        <v>430</v>
      </c>
      <c r="Z6" s="36">
        <f t="shared" si="26"/>
        <v>0</v>
      </c>
      <c r="AA6" s="5">
        <v>429</v>
      </c>
      <c r="AC6" s="50">
        <v>3</v>
      </c>
      <c r="AD6" s="61" t="s">
        <v>54</v>
      </c>
      <c r="AE6" s="62">
        <f t="shared" si="4"/>
        <v>0</v>
      </c>
      <c r="AF6" s="48">
        <f t="shared" si="5"/>
        <v>0</v>
      </c>
      <c r="AG6" s="62">
        <f t="shared" si="6"/>
        <v>0</v>
      </c>
      <c r="AH6" s="49">
        <f t="shared" si="7"/>
        <v>0</v>
      </c>
      <c r="AI6" s="48">
        <f t="shared" si="8"/>
        <v>0</v>
      </c>
      <c r="AJ6" s="84">
        <f t="shared" si="9"/>
        <v>43</v>
      </c>
      <c r="AK6" s="112">
        <f t="shared" si="10"/>
        <v>17</v>
      </c>
      <c r="AL6" s="62">
        <f t="shared" si="11"/>
        <v>0</v>
      </c>
      <c r="AM6" s="49">
        <f t="shared" si="12"/>
        <v>0</v>
      </c>
      <c r="AN6" s="49">
        <f t="shared" si="13"/>
        <v>0</v>
      </c>
      <c r="AO6" s="17">
        <f t="shared" si="14"/>
        <v>0</v>
      </c>
      <c r="AP6" s="74">
        <f t="shared" si="15"/>
        <v>0</v>
      </c>
      <c r="AQ6" s="49">
        <f t="shared" si="16"/>
        <v>0</v>
      </c>
      <c r="AR6" s="49">
        <f t="shared" si="17"/>
        <v>0</v>
      </c>
      <c r="AS6" s="48">
        <f t="shared" si="18"/>
        <v>0</v>
      </c>
      <c r="AT6" s="62">
        <f t="shared" si="19"/>
        <v>0</v>
      </c>
      <c r="AU6" s="49">
        <f t="shared" si="20"/>
        <v>0</v>
      </c>
      <c r="AV6" s="49">
        <f t="shared" si="21"/>
        <v>0</v>
      </c>
      <c r="AW6" s="17">
        <f t="shared" si="22"/>
        <v>0</v>
      </c>
    </row>
    <row r="7" spans="1:49" s="5" customFormat="1" ht="24.9" customHeight="1" x14ac:dyDescent="0.3">
      <c r="A7" s="131">
        <v>10</v>
      </c>
      <c r="B7" s="131">
        <v>26</v>
      </c>
      <c r="C7" s="131" t="s">
        <v>28</v>
      </c>
      <c r="D7" s="116" t="s">
        <v>318</v>
      </c>
      <c r="E7" s="132">
        <v>98</v>
      </c>
      <c r="F7" s="115">
        <v>1</v>
      </c>
      <c r="G7" s="116" t="s">
        <v>319</v>
      </c>
      <c r="H7" s="132">
        <v>68</v>
      </c>
      <c r="I7" s="115">
        <v>2</v>
      </c>
      <c r="J7" s="132">
        <v>95</v>
      </c>
      <c r="K7" s="115">
        <v>1</v>
      </c>
      <c r="L7" s="114">
        <f t="shared" si="23"/>
        <v>261</v>
      </c>
      <c r="M7" s="127">
        <f t="shared" si="1"/>
        <v>4</v>
      </c>
      <c r="N7" s="116" t="s">
        <v>320</v>
      </c>
      <c r="O7" s="132">
        <v>50</v>
      </c>
      <c r="P7" s="117">
        <v>1</v>
      </c>
      <c r="Q7" s="116" t="s">
        <v>321</v>
      </c>
      <c r="R7" s="132">
        <v>50</v>
      </c>
      <c r="S7" s="117">
        <v>1</v>
      </c>
      <c r="T7" s="132">
        <v>50</v>
      </c>
      <c r="U7" s="115">
        <v>1</v>
      </c>
      <c r="V7" s="130">
        <f t="shared" si="24"/>
        <v>411</v>
      </c>
      <c r="W7" s="118">
        <f t="shared" si="25"/>
        <v>4</v>
      </c>
      <c r="X7" s="4"/>
      <c r="Y7" s="35">
        <v>420</v>
      </c>
      <c r="Z7" s="36">
        <f t="shared" si="26"/>
        <v>2</v>
      </c>
      <c r="AA7" s="5">
        <v>419</v>
      </c>
      <c r="AC7" s="50">
        <v>4</v>
      </c>
      <c r="AD7" s="61" t="s">
        <v>54</v>
      </c>
      <c r="AE7" s="62">
        <f t="shared" si="4"/>
        <v>0</v>
      </c>
      <c r="AF7" s="48">
        <f t="shared" si="5"/>
        <v>0</v>
      </c>
      <c r="AG7" s="62">
        <f t="shared" si="6"/>
        <v>0</v>
      </c>
      <c r="AH7" s="49">
        <f t="shared" si="7"/>
        <v>0</v>
      </c>
      <c r="AI7" s="48">
        <f t="shared" si="8"/>
        <v>0</v>
      </c>
      <c r="AJ7" s="84">
        <f t="shared" si="9"/>
        <v>51</v>
      </c>
      <c r="AK7" s="112">
        <f t="shared" si="10"/>
        <v>29</v>
      </c>
      <c r="AL7" s="62">
        <f t="shared" si="11"/>
        <v>0</v>
      </c>
      <c r="AM7" s="49">
        <f t="shared" si="12"/>
        <v>0</v>
      </c>
      <c r="AN7" s="49">
        <f t="shared" si="13"/>
        <v>0</v>
      </c>
      <c r="AO7" s="17">
        <f t="shared" si="14"/>
        <v>0</v>
      </c>
      <c r="AP7" s="74">
        <f t="shared" si="15"/>
        <v>0</v>
      </c>
      <c r="AQ7" s="49">
        <f t="shared" si="16"/>
        <v>0</v>
      </c>
      <c r="AR7" s="49">
        <f t="shared" si="17"/>
        <v>0</v>
      </c>
      <c r="AS7" s="48">
        <f t="shared" si="18"/>
        <v>0</v>
      </c>
      <c r="AT7" s="62">
        <f t="shared" si="19"/>
        <v>0</v>
      </c>
      <c r="AU7" s="49">
        <f t="shared" si="20"/>
        <v>0</v>
      </c>
      <c r="AV7" s="49">
        <f t="shared" si="21"/>
        <v>0</v>
      </c>
      <c r="AW7" s="17">
        <f t="shared" si="22"/>
        <v>0</v>
      </c>
    </row>
    <row r="8" spans="1:49" s="5" customFormat="1" ht="24.9" customHeight="1" x14ac:dyDescent="0.3">
      <c r="A8" s="131">
        <v>9</v>
      </c>
      <c r="B8" s="131">
        <v>7</v>
      </c>
      <c r="C8" s="131" t="s">
        <v>89</v>
      </c>
      <c r="D8" s="116" t="s">
        <v>318</v>
      </c>
      <c r="E8" s="132">
        <v>86</v>
      </c>
      <c r="F8" s="115">
        <v>2</v>
      </c>
      <c r="G8" s="116" t="s">
        <v>319</v>
      </c>
      <c r="H8" s="132">
        <v>76</v>
      </c>
      <c r="I8" s="115">
        <v>2</v>
      </c>
      <c r="J8" s="132">
        <v>97</v>
      </c>
      <c r="K8" s="115">
        <v>1</v>
      </c>
      <c r="L8" s="114">
        <f t="shared" si="23"/>
        <v>259</v>
      </c>
      <c r="M8" s="127">
        <f t="shared" si="1"/>
        <v>5</v>
      </c>
      <c r="N8" s="116" t="s">
        <v>320</v>
      </c>
      <c r="O8" s="132">
        <v>48</v>
      </c>
      <c r="P8" s="117">
        <v>2</v>
      </c>
      <c r="Q8" s="116" t="s">
        <v>321</v>
      </c>
      <c r="R8" s="132">
        <v>50</v>
      </c>
      <c r="S8" s="117">
        <v>1</v>
      </c>
      <c r="T8" s="132">
        <v>47</v>
      </c>
      <c r="U8" s="115">
        <v>1</v>
      </c>
      <c r="V8" s="130">
        <f t="shared" si="24"/>
        <v>404</v>
      </c>
      <c r="W8" s="118">
        <f t="shared" si="25"/>
        <v>5</v>
      </c>
      <c r="X8" s="4"/>
      <c r="Y8" s="35">
        <v>410</v>
      </c>
      <c r="Z8" s="36">
        <f t="shared" si="26"/>
        <v>2</v>
      </c>
      <c r="AA8" s="5">
        <v>409</v>
      </c>
      <c r="AC8" s="50">
        <v>5</v>
      </c>
      <c r="AD8" s="61" t="s">
        <v>54</v>
      </c>
      <c r="AE8" s="62">
        <f t="shared" si="4"/>
        <v>0</v>
      </c>
      <c r="AF8" s="48">
        <f t="shared" si="5"/>
        <v>0</v>
      </c>
      <c r="AG8" s="62">
        <f t="shared" si="6"/>
        <v>0</v>
      </c>
      <c r="AH8" s="49">
        <f t="shared" si="7"/>
        <v>0</v>
      </c>
      <c r="AI8" s="48">
        <f t="shared" si="8"/>
        <v>0</v>
      </c>
      <c r="AJ8" s="84">
        <f t="shared" si="9"/>
        <v>49</v>
      </c>
      <c r="AK8" s="112">
        <f t="shared" si="10"/>
        <v>31</v>
      </c>
      <c r="AL8" s="62">
        <f t="shared" si="11"/>
        <v>0</v>
      </c>
      <c r="AM8" s="49">
        <f t="shared" si="12"/>
        <v>0</v>
      </c>
      <c r="AN8" s="49">
        <f t="shared" si="13"/>
        <v>0</v>
      </c>
      <c r="AO8" s="17">
        <f t="shared" si="14"/>
        <v>0</v>
      </c>
      <c r="AP8" s="74">
        <f t="shared" si="15"/>
        <v>0</v>
      </c>
      <c r="AQ8" s="49">
        <f t="shared" si="16"/>
        <v>0</v>
      </c>
      <c r="AR8" s="49">
        <f t="shared" si="17"/>
        <v>0</v>
      </c>
      <c r="AS8" s="48">
        <f t="shared" si="18"/>
        <v>0</v>
      </c>
      <c r="AT8" s="62">
        <f t="shared" si="19"/>
        <v>0</v>
      </c>
      <c r="AU8" s="49">
        <f t="shared" si="20"/>
        <v>0</v>
      </c>
      <c r="AV8" s="49">
        <f t="shared" si="21"/>
        <v>0</v>
      </c>
      <c r="AW8" s="17">
        <f t="shared" si="22"/>
        <v>0</v>
      </c>
    </row>
    <row r="9" spans="1:49" s="5" customFormat="1" ht="24.9" customHeight="1" thickBot="1" x14ac:dyDescent="0.35">
      <c r="A9" s="131">
        <v>10</v>
      </c>
      <c r="B9" s="131">
        <v>6</v>
      </c>
      <c r="C9" s="131" t="s">
        <v>81</v>
      </c>
      <c r="D9" s="116" t="s">
        <v>318</v>
      </c>
      <c r="E9" s="132">
        <v>85</v>
      </c>
      <c r="F9" s="115">
        <v>2</v>
      </c>
      <c r="G9" s="116" t="s">
        <v>319</v>
      </c>
      <c r="H9" s="132">
        <v>74</v>
      </c>
      <c r="I9" s="115">
        <v>2</v>
      </c>
      <c r="J9" s="132">
        <v>94</v>
      </c>
      <c r="K9" s="115">
        <v>1</v>
      </c>
      <c r="L9" s="114">
        <f t="shared" si="23"/>
        <v>253</v>
      </c>
      <c r="M9" s="127">
        <f t="shared" si="1"/>
        <v>7</v>
      </c>
      <c r="N9" s="116" t="s">
        <v>320</v>
      </c>
      <c r="O9" s="132">
        <v>50</v>
      </c>
      <c r="P9" s="117">
        <v>1</v>
      </c>
      <c r="Q9" s="116" t="s">
        <v>321</v>
      </c>
      <c r="R9" s="132">
        <v>50</v>
      </c>
      <c r="S9" s="117">
        <v>1</v>
      </c>
      <c r="T9" s="132">
        <v>50</v>
      </c>
      <c r="U9" s="115">
        <v>1</v>
      </c>
      <c r="V9" s="130">
        <f t="shared" si="24"/>
        <v>403</v>
      </c>
      <c r="W9" s="118">
        <f t="shared" si="25"/>
        <v>6</v>
      </c>
      <c r="X9" s="4"/>
      <c r="Y9" s="37">
        <v>400</v>
      </c>
      <c r="Z9" s="38">
        <f t="shared" si="26"/>
        <v>4</v>
      </c>
      <c r="AA9" s="5">
        <v>399</v>
      </c>
      <c r="AC9" s="50">
        <v>6</v>
      </c>
      <c r="AD9" s="61" t="s">
        <v>54</v>
      </c>
      <c r="AE9" s="62">
        <f t="shared" si="4"/>
        <v>0</v>
      </c>
      <c r="AF9" s="48">
        <f t="shared" si="5"/>
        <v>0</v>
      </c>
      <c r="AG9" s="62">
        <f t="shared" si="6"/>
        <v>0</v>
      </c>
      <c r="AH9" s="49">
        <f t="shared" si="7"/>
        <v>0</v>
      </c>
      <c r="AI9" s="48">
        <f t="shared" si="8"/>
        <v>0</v>
      </c>
      <c r="AJ9" s="84">
        <f t="shared" si="9"/>
        <v>32</v>
      </c>
      <c r="AK9" s="112">
        <f t="shared" si="10"/>
        <v>32</v>
      </c>
      <c r="AL9" s="62">
        <f t="shared" si="11"/>
        <v>0</v>
      </c>
      <c r="AM9" s="49">
        <f t="shared" si="12"/>
        <v>0</v>
      </c>
      <c r="AN9" s="49">
        <f t="shared" si="13"/>
        <v>0</v>
      </c>
      <c r="AO9" s="17">
        <f t="shared" si="14"/>
        <v>0</v>
      </c>
      <c r="AP9" s="74">
        <f t="shared" si="15"/>
        <v>0</v>
      </c>
      <c r="AQ9" s="49">
        <f t="shared" si="16"/>
        <v>0</v>
      </c>
      <c r="AR9" s="49">
        <f t="shared" si="17"/>
        <v>0</v>
      </c>
      <c r="AS9" s="48">
        <f t="shared" si="18"/>
        <v>0</v>
      </c>
      <c r="AT9" s="62">
        <f t="shared" si="19"/>
        <v>0</v>
      </c>
      <c r="AU9" s="49">
        <f t="shared" si="20"/>
        <v>0</v>
      </c>
      <c r="AV9" s="49">
        <f t="shared" si="21"/>
        <v>0</v>
      </c>
      <c r="AW9" s="17">
        <f t="shared" si="22"/>
        <v>0</v>
      </c>
    </row>
    <row r="10" spans="1:49" s="5" customFormat="1" ht="24.9" customHeight="1" x14ac:dyDescent="0.3">
      <c r="A10" s="131">
        <v>6</v>
      </c>
      <c r="B10" s="131">
        <v>25</v>
      </c>
      <c r="C10" s="131" t="s">
        <v>77</v>
      </c>
      <c r="D10" s="116" t="s">
        <v>318</v>
      </c>
      <c r="E10" s="132">
        <v>89</v>
      </c>
      <c r="F10" s="115">
        <v>2</v>
      </c>
      <c r="G10" s="116" t="s">
        <v>319</v>
      </c>
      <c r="H10" s="132">
        <v>73</v>
      </c>
      <c r="I10" s="115">
        <v>2</v>
      </c>
      <c r="J10" s="132">
        <v>89</v>
      </c>
      <c r="K10" s="115">
        <v>2</v>
      </c>
      <c r="L10" s="114">
        <f t="shared" si="23"/>
        <v>251</v>
      </c>
      <c r="M10" s="127">
        <f t="shared" si="1"/>
        <v>9</v>
      </c>
      <c r="N10" s="116" t="s">
        <v>320</v>
      </c>
      <c r="O10" s="132">
        <v>50</v>
      </c>
      <c r="P10" s="117">
        <v>1</v>
      </c>
      <c r="Q10" s="116" t="s">
        <v>321</v>
      </c>
      <c r="R10" s="132">
        <v>50</v>
      </c>
      <c r="S10" s="117">
        <v>1</v>
      </c>
      <c r="T10" s="132">
        <v>50</v>
      </c>
      <c r="U10" s="115">
        <v>1</v>
      </c>
      <c r="V10" s="130">
        <f t="shared" si="24"/>
        <v>401</v>
      </c>
      <c r="W10" s="118">
        <f t="shared" si="25"/>
        <v>7</v>
      </c>
      <c r="X10" s="4"/>
      <c r="Y10" s="33">
        <v>390</v>
      </c>
      <c r="Z10" s="39">
        <f t="shared" si="26"/>
        <v>6</v>
      </c>
      <c r="AA10" s="5">
        <v>389</v>
      </c>
      <c r="AC10" s="50">
        <v>7</v>
      </c>
      <c r="AD10" s="61" t="s">
        <v>54</v>
      </c>
      <c r="AE10" s="62">
        <f t="shared" si="4"/>
        <v>0</v>
      </c>
      <c r="AF10" s="48">
        <f t="shared" si="5"/>
        <v>0</v>
      </c>
      <c r="AG10" s="62">
        <f t="shared" si="6"/>
        <v>0</v>
      </c>
      <c r="AH10" s="49">
        <f t="shared" si="7"/>
        <v>0</v>
      </c>
      <c r="AI10" s="48">
        <f t="shared" si="8"/>
        <v>0</v>
      </c>
      <c r="AJ10" s="84">
        <f t="shared" si="9"/>
        <v>20</v>
      </c>
      <c r="AK10" s="112">
        <f t="shared" si="10"/>
        <v>26</v>
      </c>
      <c r="AL10" s="62">
        <f t="shared" si="11"/>
        <v>0</v>
      </c>
      <c r="AM10" s="49">
        <f t="shared" si="12"/>
        <v>0</v>
      </c>
      <c r="AN10" s="49">
        <f t="shared" si="13"/>
        <v>0</v>
      </c>
      <c r="AO10" s="17">
        <f t="shared" si="14"/>
        <v>0</v>
      </c>
      <c r="AP10" s="74">
        <f t="shared" si="15"/>
        <v>0</v>
      </c>
      <c r="AQ10" s="49">
        <f t="shared" si="16"/>
        <v>0</v>
      </c>
      <c r="AR10" s="49">
        <f t="shared" si="17"/>
        <v>0</v>
      </c>
      <c r="AS10" s="48">
        <f t="shared" si="18"/>
        <v>0</v>
      </c>
      <c r="AT10" s="62">
        <f t="shared" si="19"/>
        <v>0</v>
      </c>
      <c r="AU10" s="49">
        <f t="shared" si="20"/>
        <v>0</v>
      </c>
      <c r="AV10" s="49">
        <f t="shared" si="21"/>
        <v>0</v>
      </c>
      <c r="AW10" s="17">
        <f t="shared" si="22"/>
        <v>0</v>
      </c>
    </row>
    <row r="11" spans="1:49" s="5" customFormat="1" ht="24.9" customHeight="1" x14ac:dyDescent="0.3">
      <c r="A11" s="131">
        <v>4</v>
      </c>
      <c r="B11" s="131">
        <v>3</v>
      </c>
      <c r="C11" s="131" t="s">
        <v>90</v>
      </c>
      <c r="D11" s="116" t="s">
        <v>318</v>
      </c>
      <c r="E11" s="132">
        <v>89</v>
      </c>
      <c r="F11" s="115">
        <v>2</v>
      </c>
      <c r="G11" s="116" t="s">
        <v>319</v>
      </c>
      <c r="H11" s="132">
        <v>72</v>
      </c>
      <c r="I11" s="115">
        <v>2</v>
      </c>
      <c r="J11" s="132">
        <v>92</v>
      </c>
      <c r="K11" s="115">
        <v>1</v>
      </c>
      <c r="L11" s="114">
        <f t="shared" si="23"/>
        <v>253</v>
      </c>
      <c r="M11" s="127">
        <f t="shared" si="1"/>
        <v>7</v>
      </c>
      <c r="N11" s="116" t="s">
        <v>320</v>
      </c>
      <c r="O11" s="132">
        <v>50</v>
      </c>
      <c r="P11" s="117">
        <v>1</v>
      </c>
      <c r="Q11" s="116" t="s">
        <v>321</v>
      </c>
      <c r="R11" s="132">
        <v>46.5</v>
      </c>
      <c r="S11" s="117">
        <v>2</v>
      </c>
      <c r="T11" s="132">
        <v>50</v>
      </c>
      <c r="U11" s="115">
        <v>1</v>
      </c>
      <c r="V11" s="130">
        <f t="shared" si="24"/>
        <v>399.5</v>
      </c>
      <c r="W11" s="118">
        <f t="shared" si="25"/>
        <v>8</v>
      </c>
      <c r="X11" s="4"/>
      <c r="Y11" s="35">
        <v>380</v>
      </c>
      <c r="Z11" s="36">
        <f t="shared" si="26"/>
        <v>2</v>
      </c>
      <c r="AC11" s="50">
        <v>8</v>
      </c>
      <c r="AD11" s="61" t="s">
        <v>54</v>
      </c>
      <c r="AE11" s="62">
        <f t="shared" si="4"/>
        <v>0</v>
      </c>
      <c r="AF11" s="48">
        <f t="shared" si="5"/>
        <v>0</v>
      </c>
      <c r="AG11" s="62">
        <f t="shared" si="6"/>
        <v>0</v>
      </c>
      <c r="AH11" s="49">
        <f t="shared" si="7"/>
        <v>0</v>
      </c>
      <c r="AI11" s="48">
        <f t="shared" si="8"/>
        <v>0</v>
      </c>
      <c r="AJ11" s="84">
        <f t="shared" si="9"/>
        <v>13</v>
      </c>
      <c r="AK11" s="112">
        <f t="shared" si="10"/>
        <v>4</v>
      </c>
      <c r="AL11" s="62">
        <f t="shared" si="11"/>
        <v>0</v>
      </c>
      <c r="AM11" s="49">
        <f t="shared" si="12"/>
        <v>0</v>
      </c>
      <c r="AN11" s="49">
        <f t="shared" si="13"/>
        <v>0</v>
      </c>
      <c r="AO11" s="17">
        <f t="shared" si="14"/>
        <v>0</v>
      </c>
      <c r="AP11" s="74">
        <f t="shared" si="15"/>
        <v>0</v>
      </c>
      <c r="AQ11" s="49">
        <f t="shared" si="16"/>
        <v>0</v>
      </c>
      <c r="AR11" s="49">
        <f t="shared" si="17"/>
        <v>0</v>
      </c>
      <c r="AS11" s="48">
        <f t="shared" si="18"/>
        <v>0</v>
      </c>
      <c r="AT11" s="62">
        <f t="shared" si="19"/>
        <v>0</v>
      </c>
      <c r="AU11" s="49">
        <f t="shared" si="20"/>
        <v>0</v>
      </c>
      <c r="AV11" s="49">
        <f t="shared" si="21"/>
        <v>0</v>
      </c>
      <c r="AW11" s="17">
        <f t="shared" si="22"/>
        <v>0</v>
      </c>
    </row>
    <row r="12" spans="1:49" s="5" customFormat="1" ht="24.9" customHeight="1" thickBot="1" x14ac:dyDescent="0.35">
      <c r="A12" s="131">
        <v>8</v>
      </c>
      <c r="B12" s="131">
        <v>25</v>
      </c>
      <c r="C12" s="131" t="s">
        <v>91</v>
      </c>
      <c r="D12" s="116" t="s">
        <v>318</v>
      </c>
      <c r="E12" s="132">
        <v>92</v>
      </c>
      <c r="F12" s="115">
        <v>1</v>
      </c>
      <c r="G12" s="116" t="s">
        <v>319</v>
      </c>
      <c r="H12" s="132">
        <v>77</v>
      </c>
      <c r="I12" s="115">
        <v>1</v>
      </c>
      <c r="J12" s="132">
        <v>87</v>
      </c>
      <c r="K12" s="115">
        <v>2</v>
      </c>
      <c r="L12" s="114">
        <f t="shared" si="23"/>
        <v>256</v>
      </c>
      <c r="M12" s="127">
        <f t="shared" si="1"/>
        <v>6</v>
      </c>
      <c r="N12" s="116" t="s">
        <v>320</v>
      </c>
      <c r="O12" s="132">
        <v>47.5</v>
      </c>
      <c r="P12" s="117">
        <v>2</v>
      </c>
      <c r="Q12" s="116" t="s">
        <v>321</v>
      </c>
      <c r="R12" s="132">
        <v>48</v>
      </c>
      <c r="S12" s="117">
        <v>1</v>
      </c>
      <c r="T12" s="132">
        <v>45</v>
      </c>
      <c r="U12" s="115">
        <v>1</v>
      </c>
      <c r="V12" s="130">
        <f t="shared" si="24"/>
        <v>396.5</v>
      </c>
      <c r="W12" s="118">
        <f t="shared" si="25"/>
        <v>9</v>
      </c>
      <c r="X12" s="4"/>
      <c r="Y12" s="35">
        <v>370</v>
      </c>
      <c r="Z12" s="36">
        <f>FREQUENCY($V$4:$V$236,AA12:AA46)</f>
        <v>7</v>
      </c>
      <c r="AA12" s="5">
        <v>379</v>
      </c>
      <c r="AC12" s="66">
        <v>9</v>
      </c>
      <c r="AD12" s="67" t="s">
        <v>54</v>
      </c>
      <c r="AE12" s="80">
        <f t="shared" si="4"/>
        <v>0</v>
      </c>
      <c r="AF12" s="81">
        <f t="shared" si="5"/>
        <v>0</v>
      </c>
      <c r="AG12" s="68">
        <f t="shared" si="6"/>
        <v>0</v>
      </c>
      <c r="AH12" s="69">
        <f t="shared" si="7"/>
        <v>0</v>
      </c>
      <c r="AI12" s="91">
        <f t="shared" si="8"/>
        <v>0</v>
      </c>
      <c r="AJ12" s="86">
        <f t="shared" si="9"/>
        <v>3</v>
      </c>
      <c r="AK12" s="113">
        <f t="shared" si="10"/>
        <v>0</v>
      </c>
      <c r="AL12" s="102">
        <f t="shared" si="11"/>
        <v>0</v>
      </c>
      <c r="AM12" s="103">
        <f t="shared" si="12"/>
        <v>0</v>
      </c>
      <c r="AN12" s="103">
        <f t="shared" si="13"/>
        <v>0</v>
      </c>
      <c r="AO12" s="107">
        <f t="shared" si="14"/>
        <v>0</v>
      </c>
      <c r="AP12" s="97">
        <f t="shared" si="15"/>
        <v>0</v>
      </c>
      <c r="AQ12" s="77">
        <f t="shared" si="16"/>
        <v>0</v>
      </c>
      <c r="AR12" s="77">
        <f t="shared" si="17"/>
        <v>0</v>
      </c>
      <c r="AS12" s="104">
        <f t="shared" si="18"/>
        <v>0</v>
      </c>
      <c r="AT12" s="102">
        <f t="shared" si="19"/>
        <v>0</v>
      </c>
      <c r="AU12" s="103">
        <f t="shared" si="20"/>
        <v>0</v>
      </c>
      <c r="AV12" s="103">
        <f t="shared" si="21"/>
        <v>0</v>
      </c>
      <c r="AW12" s="107">
        <f t="shared" si="22"/>
        <v>0</v>
      </c>
    </row>
    <row r="13" spans="1:49" s="5" customFormat="1" ht="24.9" customHeight="1" x14ac:dyDescent="0.3">
      <c r="A13" s="131">
        <v>7</v>
      </c>
      <c r="B13" s="131">
        <v>19</v>
      </c>
      <c r="C13" s="131" t="s">
        <v>92</v>
      </c>
      <c r="D13" s="116" t="s">
        <v>318</v>
      </c>
      <c r="E13" s="132">
        <v>86</v>
      </c>
      <c r="F13" s="115">
        <v>2</v>
      </c>
      <c r="G13" s="116" t="s">
        <v>319</v>
      </c>
      <c r="H13" s="132">
        <v>65</v>
      </c>
      <c r="I13" s="115">
        <v>3</v>
      </c>
      <c r="J13" s="132">
        <v>97</v>
      </c>
      <c r="K13" s="115">
        <v>1</v>
      </c>
      <c r="L13" s="114">
        <f t="shared" si="23"/>
        <v>248</v>
      </c>
      <c r="M13" s="127">
        <f t="shared" si="1"/>
        <v>11</v>
      </c>
      <c r="N13" s="116" t="s">
        <v>320</v>
      </c>
      <c r="O13" s="132">
        <v>48</v>
      </c>
      <c r="P13" s="117">
        <v>2</v>
      </c>
      <c r="Q13" s="116" t="s">
        <v>321</v>
      </c>
      <c r="R13" s="132">
        <v>50</v>
      </c>
      <c r="S13" s="117">
        <v>1</v>
      </c>
      <c r="T13" s="132">
        <v>50</v>
      </c>
      <c r="U13" s="115">
        <v>1</v>
      </c>
      <c r="V13" s="130">
        <f t="shared" si="24"/>
        <v>396</v>
      </c>
      <c r="W13" s="118">
        <f t="shared" si="25"/>
        <v>10</v>
      </c>
      <c r="X13" s="4"/>
      <c r="Y13" s="35">
        <v>360</v>
      </c>
      <c r="Z13" s="36">
        <f>FREQUENCY($V$4:$V$236,AA13:AA47)</f>
        <v>8</v>
      </c>
      <c r="AA13" s="5">
        <v>369</v>
      </c>
      <c r="AC13" s="166" t="s">
        <v>56</v>
      </c>
      <c r="AD13" s="167"/>
      <c r="AE13" s="64">
        <f>SUM(AE4:AE12)</f>
        <v>0</v>
      </c>
      <c r="AF13" s="82">
        <f>SUM(AF4:AF12)</f>
        <v>0</v>
      </c>
      <c r="AG13" s="79">
        <f t="shared" ref="AG13:AK13" si="27">SUM(AG4:AG12)</f>
        <v>0</v>
      </c>
      <c r="AH13" s="76">
        <f t="shared" si="27"/>
        <v>0</v>
      </c>
      <c r="AI13" s="83">
        <f t="shared" si="27"/>
        <v>0</v>
      </c>
      <c r="AJ13" s="150">
        <f t="shared" si="27"/>
        <v>270</v>
      </c>
      <c r="AK13" s="150">
        <f t="shared" si="27"/>
        <v>270</v>
      </c>
      <c r="AL13" s="64">
        <f>SUM(AL4:AL12)</f>
        <v>0</v>
      </c>
      <c r="AM13" s="51">
        <f>SUM(AM4:AM12)</f>
        <v>0</v>
      </c>
      <c r="AN13" s="51">
        <f>SUM(AN4:AN12)</f>
        <v>0</v>
      </c>
      <c r="AO13" s="52">
        <f>SUM(AO4:AO12)</f>
        <v>0</v>
      </c>
      <c r="AP13" s="73">
        <f t="shared" ref="AP13:AS13" si="28">SUM(AP4:AP12)</f>
        <v>0</v>
      </c>
      <c r="AQ13" s="51">
        <f t="shared" si="28"/>
        <v>0</v>
      </c>
      <c r="AR13" s="51">
        <f t="shared" si="28"/>
        <v>0</v>
      </c>
      <c r="AS13" s="52">
        <f t="shared" si="28"/>
        <v>0</v>
      </c>
      <c r="AT13" s="64">
        <f>SUM(AT4:AT12)</f>
        <v>0</v>
      </c>
      <c r="AU13" s="51">
        <f>SUM(AU4:AU12)</f>
        <v>0</v>
      </c>
      <c r="AV13" s="51">
        <f>SUM(AV4:AV12)</f>
        <v>0</v>
      </c>
      <c r="AW13" s="52">
        <f>SUM(AW4:AW12)</f>
        <v>0</v>
      </c>
    </row>
    <row r="14" spans="1:49" s="5" customFormat="1" ht="24.9" customHeight="1" thickBot="1" x14ac:dyDescent="0.35">
      <c r="A14" s="131">
        <v>1</v>
      </c>
      <c r="B14" s="131">
        <v>3</v>
      </c>
      <c r="C14" s="131" t="s">
        <v>32</v>
      </c>
      <c r="D14" s="116" t="s">
        <v>318</v>
      </c>
      <c r="E14" s="132">
        <v>83</v>
      </c>
      <c r="F14" s="115">
        <v>2</v>
      </c>
      <c r="G14" s="116" t="s">
        <v>319</v>
      </c>
      <c r="H14" s="132">
        <v>65</v>
      </c>
      <c r="I14" s="115">
        <v>3</v>
      </c>
      <c r="J14" s="132">
        <v>97</v>
      </c>
      <c r="K14" s="115">
        <v>1</v>
      </c>
      <c r="L14" s="114">
        <f t="shared" si="23"/>
        <v>245</v>
      </c>
      <c r="M14" s="127">
        <f t="shared" si="1"/>
        <v>16</v>
      </c>
      <c r="N14" s="116" t="s">
        <v>320</v>
      </c>
      <c r="O14" s="132">
        <v>50</v>
      </c>
      <c r="P14" s="117">
        <v>1</v>
      </c>
      <c r="Q14" s="116" t="s">
        <v>321</v>
      </c>
      <c r="R14" s="132">
        <v>50</v>
      </c>
      <c r="S14" s="117">
        <v>1</v>
      </c>
      <c r="T14" s="132">
        <v>50</v>
      </c>
      <c r="U14" s="115">
        <v>1</v>
      </c>
      <c r="V14" s="130">
        <f t="shared" si="24"/>
        <v>395</v>
      </c>
      <c r="W14" s="118">
        <f t="shared" si="25"/>
        <v>11</v>
      </c>
      <c r="X14" s="4"/>
      <c r="Y14" s="37">
        <v>350</v>
      </c>
      <c r="Z14" s="38">
        <f t="shared" ref="Z14:Z23" si="29">FREQUENCY($V$4:$V$236,AA14:AA38)</f>
        <v>7</v>
      </c>
      <c r="AA14" s="5">
        <v>359</v>
      </c>
      <c r="AC14" s="147"/>
      <c r="AD14" s="168"/>
      <c r="AE14" s="147">
        <f>SUM(AE13:AF13)</f>
        <v>0</v>
      </c>
      <c r="AF14" s="149"/>
      <c r="AG14" s="147">
        <f>SUM(AG13:AI13)</f>
        <v>0</v>
      </c>
      <c r="AH14" s="148"/>
      <c r="AI14" s="149"/>
      <c r="AJ14" s="151"/>
      <c r="AK14" s="151"/>
      <c r="AL14" s="144">
        <f>SUM(AL13:AO13)</f>
        <v>0</v>
      </c>
      <c r="AM14" s="145"/>
      <c r="AN14" s="145"/>
      <c r="AO14" s="146"/>
      <c r="AP14" s="145">
        <f>SUM(AP13:AS13)</f>
        <v>0</v>
      </c>
      <c r="AQ14" s="145"/>
      <c r="AR14" s="145"/>
      <c r="AS14" s="146"/>
      <c r="AT14" s="144">
        <f>SUM(AT13:AW13)</f>
        <v>0</v>
      </c>
      <c r="AU14" s="145"/>
      <c r="AV14" s="145"/>
      <c r="AW14" s="146"/>
    </row>
    <row r="15" spans="1:49" s="5" customFormat="1" ht="24.9" customHeight="1" thickBot="1" x14ac:dyDescent="0.35">
      <c r="A15" s="131">
        <v>7</v>
      </c>
      <c r="B15" s="131">
        <v>9</v>
      </c>
      <c r="C15" s="131" t="s">
        <v>93</v>
      </c>
      <c r="D15" s="116" t="s">
        <v>318</v>
      </c>
      <c r="E15" s="132">
        <v>81</v>
      </c>
      <c r="F15" s="115">
        <v>3</v>
      </c>
      <c r="G15" s="116" t="s">
        <v>319</v>
      </c>
      <c r="H15" s="132">
        <v>73</v>
      </c>
      <c r="I15" s="115">
        <v>2</v>
      </c>
      <c r="J15" s="132">
        <v>95</v>
      </c>
      <c r="K15" s="115">
        <v>1</v>
      </c>
      <c r="L15" s="114">
        <f t="shared" si="23"/>
        <v>249</v>
      </c>
      <c r="M15" s="127">
        <f t="shared" si="1"/>
        <v>10</v>
      </c>
      <c r="N15" s="116" t="s">
        <v>320</v>
      </c>
      <c r="O15" s="132">
        <v>47.5</v>
      </c>
      <c r="P15" s="117">
        <v>2</v>
      </c>
      <c r="Q15" s="116" t="s">
        <v>321</v>
      </c>
      <c r="R15" s="132">
        <v>47.5</v>
      </c>
      <c r="S15" s="117">
        <v>1</v>
      </c>
      <c r="T15" s="132">
        <v>50</v>
      </c>
      <c r="U15" s="115">
        <v>1</v>
      </c>
      <c r="V15" s="130">
        <f t="shared" si="24"/>
        <v>394</v>
      </c>
      <c r="W15" s="118">
        <f t="shared" si="25"/>
        <v>12</v>
      </c>
      <c r="X15" s="4"/>
      <c r="Y15" s="33">
        <v>340</v>
      </c>
      <c r="Z15" s="39">
        <f t="shared" si="29"/>
        <v>10</v>
      </c>
      <c r="AA15" s="5">
        <v>349</v>
      </c>
    </row>
    <row r="16" spans="1:49" s="5" customFormat="1" ht="24.9" customHeight="1" thickBot="1" x14ac:dyDescent="0.35">
      <c r="A16" s="131">
        <v>8</v>
      </c>
      <c r="B16" s="131">
        <v>12</v>
      </c>
      <c r="C16" s="131" t="s">
        <v>94</v>
      </c>
      <c r="D16" s="116" t="s">
        <v>318</v>
      </c>
      <c r="E16" s="132">
        <v>86</v>
      </c>
      <c r="F16" s="115">
        <v>2</v>
      </c>
      <c r="G16" s="116" t="s">
        <v>319</v>
      </c>
      <c r="H16" s="132">
        <v>65</v>
      </c>
      <c r="I16" s="115">
        <v>3</v>
      </c>
      <c r="J16" s="132">
        <v>92</v>
      </c>
      <c r="K16" s="115">
        <v>1</v>
      </c>
      <c r="L16" s="114">
        <f t="shared" si="23"/>
        <v>243</v>
      </c>
      <c r="M16" s="127">
        <f t="shared" si="1"/>
        <v>17</v>
      </c>
      <c r="N16" s="116" t="s">
        <v>320</v>
      </c>
      <c r="O16" s="132">
        <v>50</v>
      </c>
      <c r="P16" s="117">
        <v>1</v>
      </c>
      <c r="Q16" s="116" t="s">
        <v>321</v>
      </c>
      <c r="R16" s="132">
        <v>50</v>
      </c>
      <c r="S16" s="117">
        <v>1</v>
      </c>
      <c r="T16" s="132">
        <v>50</v>
      </c>
      <c r="U16" s="115">
        <v>1</v>
      </c>
      <c r="V16" s="130">
        <f t="shared" si="24"/>
        <v>393</v>
      </c>
      <c r="W16" s="118">
        <f t="shared" si="25"/>
        <v>13</v>
      </c>
      <c r="X16" s="4"/>
      <c r="Y16" s="35">
        <v>330</v>
      </c>
      <c r="Z16" s="36">
        <f t="shared" si="29"/>
        <v>8</v>
      </c>
      <c r="AA16" s="5">
        <v>339</v>
      </c>
      <c r="AC16" s="152" t="s">
        <v>55</v>
      </c>
      <c r="AD16" s="153"/>
      <c r="AE16" s="87" t="s">
        <v>40</v>
      </c>
      <c r="AF16" s="65" t="s">
        <v>51</v>
      </c>
      <c r="AG16" s="65" t="s">
        <v>44</v>
      </c>
      <c r="AH16" s="65" t="s">
        <v>39</v>
      </c>
      <c r="AI16" s="65" t="s">
        <v>42</v>
      </c>
      <c r="AJ16" s="65" t="s">
        <v>43</v>
      </c>
      <c r="AK16" s="65" t="s">
        <v>46</v>
      </c>
      <c r="AL16" s="65" t="s">
        <v>45</v>
      </c>
      <c r="AM16" s="108" t="s">
        <v>41</v>
      </c>
    </row>
    <row r="17" spans="1:39" s="5" customFormat="1" ht="24.9" customHeight="1" x14ac:dyDescent="0.3">
      <c r="A17" s="131">
        <v>2</v>
      </c>
      <c r="B17" s="131">
        <v>7</v>
      </c>
      <c r="C17" s="131" t="s">
        <v>95</v>
      </c>
      <c r="D17" s="116" t="s">
        <v>318</v>
      </c>
      <c r="E17" s="132">
        <v>86</v>
      </c>
      <c r="F17" s="115">
        <v>2</v>
      </c>
      <c r="G17" s="116" t="s">
        <v>319</v>
      </c>
      <c r="H17" s="132">
        <v>70</v>
      </c>
      <c r="I17" s="115">
        <v>2</v>
      </c>
      <c r="J17" s="132">
        <v>91</v>
      </c>
      <c r="K17" s="115">
        <v>1</v>
      </c>
      <c r="L17" s="114">
        <f t="shared" si="23"/>
        <v>247</v>
      </c>
      <c r="M17" s="127">
        <f t="shared" si="1"/>
        <v>12</v>
      </c>
      <c r="N17" s="116" t="s">
        <v>320</v>
      </c>
      <c r="O17" s="132">
        <v>48</v>
      </c>
      <c r="P17" s="117">
        <v>2</v>
      </c>
      <c r="Q17" s="116" t="s">
        <v>321</v>
      </c>
      <c r="R17" s="132">
        <v>46</v>
      </c>
      <c r="S17" s="117">
        <v>2</v>
      </c>
      <c r="T17" s="132">
        <v>50</v>
      </c>
      <c r="U17" s="115">
        <v>1</v>
      </c>
      <c r="V17" s="130">
        <f t="shared" si="24"/>
        <v>391</v>
      </c>
      <c r="W17" s="118">
        <f t="shared" si="25"/>
        <v>14</v>
      </c>
      <c r="X17" s="4"/>
      <c r="Y17" s="35">
        <v>320</v>
      </c>
      <c r="Z17" s="36">
        <f t="shared" si="29"/>
        <v>9</v>
      </c>
      <c r="AA17" s="5">
        <v>329</v>
      </c>
      <c r="AC17" s="53">
        <v>1</v>
      </c>
      <c r="AD17" s="63" t="s">
        <v>9</v>
      </c>
      <c r="AE17" s="64">
        <f t="shared" ref="AE17:AE25" si="30">COUNTIFS($N$4:$N$491,$AE$16,$P$4:$P$491,$AC4)+COUNTIFS($Q$4:$Q$491,$AE$16,$S$4:$S$491,$AC4)</f>
        <v>0</v>
      </c>
      <c r="AF17" s="51">
        <f t="shared" ref="AF17:AF25" si="31">COUNTIFS($N$4:$N$491,$AF$16,$P$4:$P$491,$AC4)+COUNTIFS($Q$4:$Q$491,$AF$16,$S$4:$S$491,$AC4)</f>
        <v>0</v>
      </c>
      <c r="AG17" s="51">
        <f>COUNTIFS($N$4:$N$491,$AG$16,$P$4:$P$491,$AC4)+COUNTIFS($Q$4:$Q$491,$AG$16,$S$4:$S$491,$AC4)</f>
        <v>0</v>
      </c>
      <c r="AH17" s="51">
        <f t="shared" ref="AH17:AH25" si="32">COUNTIFS($N$4:$N$491,$AH$16,$P$4:$P$491,$AC4)+COUNTIFS($Q$4:$Q$491,$AH$16,$S$4:$S$491,$AC4)</f>
        <v>0</v>
      </c>
      <c r="AI17" s="51">
        <f t="shared" ref="AI17:AI25" si="33">COUNTIFS($N$4:$N$491,$AI$16,$P$4:$P$491,$AC4)+COUNTIFS($Q$4:$Q$491,$AI$16,$S$4:$S$491,$AC4)</f>
        <v>0</v>
      </c>
      <c r="AJ17" s="51">
        <f t="shared" ref="AJ17:AJ25" si="34">COUNTIFS($N$4:$N$491,$AJ$16,$P$4:$P$491,$AC4)+COUNTIFS($Q$4:$Q$491,$AJ$16,$S$4:$S$491,$AC4)</f>
        <v>0</v>
      </c>
      <c r="AK17" s="51">
        <f t="shared" ref="AK17:AK25" si="35">COUNTIFS($N$4:$N$491,$AK$16,$P$4:$P$491,$AC4)+COUNTIFS($Q$4:$Q$491,$AK$16,$S$4:$S$491,$AC4)</f>
        <v>0</v>
      </c>
      <c r="AL17" s="51">
        <f t="shared" ref="AL17:AL25" si="36">COUNTIFS($N$4:$N$491,$AL$16,$P$4:$P$491,$AC4)+COUNTIFS($Q$4:$Q$491,$AL$16,$S$4:$S$491,$AC4)</f>
        <v>0</v>
      </c>
      <c r="AM17" s="52">
        <f t="shared" ref="AM17:AM25" si="37">COUNTIFS($N$4:$N$491,$AM$16,$P$4:$P$491,$AC4)+COUNTIFS($Q$4:$Q$491,$AM$16,$S$4:$S$491,$AC4)</f>
        <v>0</v>
      </c>
    </row>
    <row r="18" spans="1:39" s="5" customFormat="1" ht="24.9" customHeight="1" x14ac:dyDescent="0.3">
      <c r="A18" s="131">
        <v>3</v>
      </c>
      <c r="B18" s="131">
        <v>12</v>
      </c>
      <c r="C18" s="131" t="s">
        <v>96</v>
      </c>
      <c r="D18" s="116" t="s">
        <v>318</v>
      </c>
      <c r="E18" s="132">
        <v>80</v>
      </c>
      <c r="F18" s="115">
        <v>3</v>
      </c>
      <c r="G18" s="116" t="s">
        <v>319</v>
      </c>
      <c r="H18" s="132">
        <v>77</v>
      </c>
      <c r="I18" s="115">
        <v>1</v>
      </c>
      <c r="J18" s="132">
        <v>89</v>
      </c>
      <c r="K18" s="115">
        <v>2</v>
      </c>
      <c r="L18" s="114">
        <f t="shared" si="23"/>
        <v>246</v>
      </c>
      <c r="M18" s="127">
        <f t="shared" si="1"/>
        <v>15</v>
      </c>
      <c r="N18" s="116" t="s">
        <v>320</v>
      </c>
      <c r="O18" s="132">
        <v>45</v>
      </c>
      <c r="P18" s="117">
        <v>3</v>
      </c>
      <c r="Q18" s="116" t="s">
        <v>321</v>
      </c>
      <c r="R18" s="132">
        <v>41.5</v>
      </c>
      <c r="S18" s="117">
        <v>3</v>
      </c>
      <c r="T18" s="132">
        <v>50</v>
      </c>
      <c r="U18" s="115">
        <v>1</v>
      </c>
      <c r="V18" s="130">
        <f t="shared" si="24"/>
        <v>382.5</v>
      </c>
      <c r="W18" s="118">
        <f t="shared" si="25"/>
        <v>15</v>
      </c>
      <c r="X18" s="4"/>
      <c r="Y18" s="35">
        <v>310</v>
      </c>
      <c r="Z18" s="36">
        <f t="shared" si="29"/>
        <v>7</v>
      </c>
      <c r="AA18" s="5">
        <v>319</v>
      </c>
      <c r="AC18" s="50">
        <v>2</v>
      </c>
      <c r="AD18" s="61" t="s">
        <v>9</v>
      </c>
      <c r="AE18" s="64">
        <f t="shared" si="30"/>
        <v>0</v>
      </c>
      <c r="AF18" s="51">
        <f t="shared" si="31"/>
        <v>0</v>
      </c>
      <c r="AG18" s="51">
        <f t="shared" ref="AG18:AG25" si="38">COUNTIFS($N$4:$N$491,$AG$16,$P$4:$P$491,$AC5)+COUNTIFS($Q$4:$Q$491,$AG$16,$S$4:$S$491,$AC5)</f>
        <v>0</v>
      </c>
      <c r="AH18" s="51">
        <f t="shared" si="32"/>
        <v>0</v>
      </c>
      <c r="AI18" s="51">
        <f t="shared" si="33"/>
        <v>0</v>
      </c>
      <c r="AJ18" s="51">
        <f t="shared" si="34"/>
        <v>0</v>
      </c>
      <c r="AK18" s="51">
        <f t="shared" si="35"/>
        <v>0</v>
      </c>
      <c r="AL18" s="51">
        <f t="shared" si="36"/>
        <v>0</v>
      </c>
      <c r="AM18" s="52">
        <f t="shared" si="37"/>
        <v>0</v>
      </c>
    </row>
    <row r="19" spans="1:39" s="5" customFormat="1" ht="24.9" customHeight="1" thickBot="1" x14ac:dyDescent="0.35">
      <c r="A19" s="131">
        <v>3</v>
      </c>
      <c r="B19" s="131">
        <v>27</v>
      </c>
      <c r="C19" s="131" t="s">
        <v>97</v>
      </c>
      <c r="D19" s="116" t="s">
        <v>318</v>
      </c>
      <c r="E19" s="132">
        <v>83</v>
      </c>
      <c r="F19" s="115">
        <v>2</v>
      </c>
      <c r="G19" s="116" t="s">
        <v>319</v>
      </c>
      <c r="H19" s="132">
        <v>58</v>
      </c>
      <c r="I19" s="115">
        <v>3</v>
      </c>
      <c r="J19" s="132">
        <v>93</v>
      </c>
      <c r="K19" s="115">
        <v>1</v>
      </c>
      <c r="L19" s="114">
        <f t="shared" si="23"/>
        <v>234</v>
      </c>
      <c r="M19" s="127">
        <f t="shared" si="1"/>
        <v>22</v>
      </c>
      <c r="N19" s="116" t="s">
        <v>320</v>
      </c>
      <c r="O19" s="132">
        <v>50</v>
      </c>
      <c r="P19" s="117">
        <v>1</v>
      </c>
      <c r="Q19" s="116" t="s">
        <v>321</v>
      </c>
      <c r="R19" s="132">
        <v>45.5</v>
      </c>
      <c r="S19" s="117">
        <v>2</v>
      </c>
      <c r="T19" s="132">
        <v>50</v>
      </c>
      <c r="U19" s="115">
        <v>1</v>
      </c>
      <c r="V19" s="130">
        <f t="shared" si="24"/>
        <v>379.5</v>
      </c>
      <c r="W19" s="118">
        <f t="shared" si="25"/>
        <v>16</v>
      </c>
      <c r="X19" s="4"/>
      <c r="Y19" s="37">
        <v>300</v>
      </c>
      <c r="Z19" s="38">
        <f t="shared" si="29"/>
        <v>11</v>
      </c>
      <c r="AA19" s="5">
        <v>309</v>
      </c>
      <c r="AC19" s="50">
        <v>3</v>
      </c>
      <c r="AD19" s="61" t="s">
        <v>9</v>
      </c>
      <c r="AE19" s="64">
        <f t="shared" si="30"/>
        <v>0</v>
      </c>
      <c r="AF19" s="51">
        <f t="shared" si="31"/>
        <v>0</v>
      </c>
      <c r="AG19" s="51">
        <f t="shared" si="38"/>
        <v>0</v>
      </c>
      <c r="AH19" s="51">
        <f t="shared" si="32"/>
        <v>0</v>
      </c>
      <c r="AI19" s="51">
        <f t="shared" si="33"/>
        <v>0</v>
      </c>
      <c r="AJ19" s="51">
        <f t="shared" si="34"/>
        <v>0</v>
      </c>
      <c r="AK19" s="51">
        <f t="shared" si="35"/>
        <v>0</v>
      </c>
      <c r="AL19" s="51">
        <f t="shared" si="36"/>
        <v>0</v>
      </c>
      <c r="AM19" s="52">
        <f t="shared" si="37"/>
        <v>0</v>
      </c>
    </row>
    <row r="20" spans="1:39" s="5" customFormat="1" ht="24.9" customHeight="1" x14ac:dyDescent="0.3">
      <c r="A20" s="131">
        <v>9</v>
      </c>
      <c r="B20" s="131">
        <v>8</v>
      </c>
      <c r="C20" s="131" t="s">
        <v>98</v>
      </c>
      <c r="D20" s="116" t="s">
        <v>318</v>
      </c>
      <c r="E20" s="132">
        <v>90</v>
      </c>
      <c r="F20" s="115">
        <v>2</v>
      </c>
      <c r="G20" s="116" t="s">
        <v>319</v>
      </c>
      <c r="H20" s="132">
        <v>62</v>
      </c>
      <c r="I20" s="115">
        <v>3</v>
      </c>
      <c r="J20" s="132">
        <v>90</v>
      </c>
      <c r="K20" s="115">
        <v>1</v>
      </c>
      <c r="L20" s="114">
        <f t="shared" si="23"/>
        <v>242</v>
      </c>
      <c r="M20" s="127">
        <f t="shared" si="1"/>
        <v>19</v>
      </c>
      <c r="N20" s="116" t="s">
        <v>320</v>
      </c>
      <c r="O20" s="132">
        <v>47.5</v>
      </c>
      <c r="P20" s="117">
        <v>2</v>
      </c>
      <c r="Q20" s="116" t="s">
        <v>321</v>
      </c>
      <c r="R20" s="132">
        <v>42.5</v>
      </c>
      <c r="S20" s="117">
        <v>3</v>
      </c>
      <c r="T20" s="132">
        <v>47</v>
      </c>
      <c r="U20" s="115">
        <v>1</v>
      </c>
      <c r="V20" s="130">
        <f t="shared" si="24"/>
        <v>379</v>
      </c>
      <c r="W20" s="118">
        <f t="shared" si="25"/>
        <v>17</v>
      </c>
      <c r="X20" s="4"/>
      <c r="Y20" s="33">
        <v>290</v>
      </c>
      <c r="Z20" s="39">
        <f t="shared" si="29"/>
        <v>11</v>
      </c>
      <c r="AA20" s="5">
        <v>299</v>
      </c>
      <c r="AC20" s="50">
        <v>4</v>
      </c>
      <c r="AD20" s="61" t="s">
        <v>9</v>
      </c>
      <c r="AE20" s="64">
        <f t="shared" si="30"/>
        <v>0</v>
      </c>
      <c r="AF20" s="51">
        <f t="shared" si="31"/>
        <v>0</v>
      </c>
      <c r="AG20" s="51">
        <f t="shared" si="38"/>
        <v>0</v>
      </c>
      <c r="AH20" s="51">
        <f t="shared" si="32"/>
        <v>0</v>
      </c>
      <c r="AI20" s="51">
        <f t="shared" si="33"/>
        <v>0</v>
      </c>
      <c r="AJ20" s="51">
        <f t="shared" si="34"/>
        <v>0</v>
      </c>
      <c r="AK20" s="51">
        <f t="shared" si="35"/>
        <v>0</v>
      </c>
      <c r="AL20" s="51">
        <f t="shared" si="36"/>
        <v>0</v>
      </c>
      <c r="AM20" s="52">
        <f t="shared" si="37"/>
        <v>0</v>
      </c>
    </row>
    <row r="21" spans="1:39" s="5" customFormat="1" ht="24.9" customHeight="1" x14ac:dyDescent="0.3">
      <c r="A21" s="131">
        <v>7</v>
      </c>
      <c r="B21" s="131">
        <v>22</v>
      </c>
      <c r="C21" s="131" t="s">
        <v>99</v>
      </c>
      <c r="D21" s="116" t="s">
        <v>318</v>
      </c>
      <c r="E21" s="132">
        <v>95</v>
      </c>
      <c r="F21" s="115">
        <v>1</v>
      </c>
      <c r="G21" s="116" t="s">
        <v>319</v>
      </c>
      <c r="H21" s="132">
        <v>58</v>
      </c>
      <c r="I21" s="115">
        <v>3</v>
      </c>
      <c r="J21" s="132">
        <v>94</v>
      </c>
      <c r="K21" s="115">
        <v>1</v>
      </c>
      <c r="L21" s="114">
        <f t="shared" si="23"/>
        <v>247</v>
      </c>
      <c r="M21" s="127">
        <f t="shared" si="1"/>
        <v>12</v>
      </c>
      <c r="N21" s="116" t="s">
        <v>320</v>
      </c>
      <c r="O21" s="132">
        <v>43.5</v>
      </c>
      <c r="P21" s="117">
        <v>3</v>
      </c>
      <c r="Q21" s="116" t="s">
        <v>321</v>
      </c>
      <c r="R21" s="132">
        <v>43</v>
      </c>
      <c r="S21" s="117">
        <v>3</v>
      </c>
      <c r="T21" s="132">
        <v>45</v>
      </c>
      <c r="U21" s="115">
        <v>1</v>
      </c>
      <c r="V21" s="130">
        <f t="shared" si="24"/>
        <v>378.5</v>
      </c>
      <c r="W21" s="118">
        <f t="shared" si="25"/>
        <v>18</v>
      </c>
      <c r="X21" s="4"/>
      <c r="Y21" s="35">
        <v>280</v>
      </c>
      <c r="Z21" s="36">
        <f t="shared" si="29"/>
        <v>9</v>
      </c>
      <c r="AA21" s="5">
        <v>289</v>
      </c>
      <c r="AC21" s="50">
        <v>5</v>
      </c>
      <c r="AD21" s="61" t="s">
        <v>9</v>
      </c>
      <c r="AE21" s="64">
        <f t="shared" si="30"/>
        <v>0</v>
      </c>
      <c r="AF21" s="51">
        <f t="shared" si="31"/>
        <v>0</v>
      </c>
      <c r="AG21" s="51">
        <f t="shared" si="38"/>
        <v>0</v>
      </c>
      <c r="AH21" s="51">
        <f t="shared" si="32"/>
        <v>0</v>
      </c>
      <c r="AI21" s="51">
        <f t="shared" si="33"/>
        <v>0</v>
      </c>
      <c r="AJ21" s="51">
        <f t="shared" si="34"/>
        <v>0</v>
      </c>
      <c r="AK21" s="51">
        <f t="shared" si="35"/>
        <v>0</v>
      </c>
      <c r="AL21" s="51">
        <f t="shared" si="36"/>
        <v>0</v>
      </c>
      <c r="AM21" s="52">
        <f t="shared" si="37"/>
        <v>0</v>
      </c>
    </row>
    <row r="22" spans="1:39" s="5" customFormat="1" ht="24.9" customHeight="1" x14ac:dyDescent="0.3">
      <c r="A22" s="131">
        <v>3</v>
      </c>
      <c r="B22" s="131">
        <v>1</v>
      </c>
      <c r="C22" s="131" t="s">
        <v>100</v>
      </c>
      <c r="D22" s="116" t="s">
        <v>318</v>
      </c>
      <c r="E22" s="132">
        <v>86</v>
      </c>
      <c r="F22" s="115">
        <v>2</v>
      </c>
      <c r="G22" s="116" t="s">
        <v>319</v>
      </c>
      <c r="H22" s="132">
        <v>51</v>
      </c>
      <c r="I22" s="115">
        <v>4</v>
      </c>
      <c r="J22" s="132">
        <v>93</v>
      </c>
      <c r="K22" s="115">
        <v>1</v>
      </c>
      <c r="L22" s="114">
        <f t="shared" si="23"/>
        <v>230</v>
      </c>
      <c r="M22" s="127">
        <f t="shared" si="1"/>
        <v>27</v>
      </c>
      <c r="N22" s="116" t="s">
        <v>320</v>
      </c>
      <c r="O22" s="132">
        <v>50</v>
      </c>
      <c r="P22" s="117">
        <v>1</v>
      </c>
      <c r="Q22" s="116" t="s">
        <v>321</v>
      </c>
      <c r="R22" s="132">
        <v>47</v>
      </c>
      <c r="S22" s="117">
        <v>1</v>
      </c>
      <c r="T22" s="132">
        <v>47</v>
      </c>
      <c r="U22" s="115">
        <v>1</v>
      </c>
      <c r="V22" s="130">
        <f t="shared" si="24"/>
        <v>374</v>
      </c>
      <c r="W22" s="118">
        <f t="shared" si="25"/>
        <v>19</v>
      </c>
      <c r="X22" s="4"/>
      <c r="Y22" s="35">
        <v>270</v>
      </c>
      <c r="Z22" s="36">
        <f t="shared" si="29"/>
        <v>14</v>
      </c>
      <c r="AA22" s="5">
        <v>279</v>
      </c>
      <c r="AC22" s="50">
        <v>6</v>
      </c>
      <c r="AD22" s="61" t="s">
        <v>9</v>
      </c>
      <c r="AE22" s="64">
        <f t="shared" si="30"/>
        <v>0</v>
      </c>
      <c r="AF22" s="51">
        <f t="shared" si="31"/>
        <v>0</v>
      </c>
      <c r="AG22" s="51">
        <f t="shared" si="38"/>
        <v>0</v>
      </c>
      <c r="AH22" s="51">
        <f t="shared" si="32"/>
        <v>0</v>
      </c>
      <c r="AI22" s="51">
        <f t="shared" si="33"/>
        <v>0</v>
      </c>
      <c r="AJ22" s="51">
        <f t="shared" si="34"/>
        <v>0</v>
      </c>
      <c r="AK22" s="51">
        <f t="shared" si="35"/>
        <v>0</v>
      </c>
      <c r="AL22" s="51">
        <f t="shared" si="36"/>
        <v>0</v>
      </c>
      <c r="AM22" s="52">
        <f t="shared" si="37"/>
        <v>0</v>
      </c>
    </row>
    <row r="23" spans="1:39" s="5" customFormat="1" ht="24.9" customHeight="1" x14ac:dyDescent="0.3">
      <c r="A23" s="131">
        <v>8</v>
      </c>
      <c r="B23" s="131">
        <v>22</v>
      </c>
      <c r="C23" s="131" t="s">
        <v>101</v>
      </c>
      <c r="D23" s="116" t="s">
        <v>318</v>
      </c>
      <c r="E23" s="132">
        <v>87</v>
      </c>
      <c r="F23" s="115">
        <v>2</v>
      </c>
      <c r="G23" s="116" t="s">
        <v>319</v>
      </c>
      <c r="H23" s="132">
        <v>72</v>
      </c>
      <c r="I23" s="115">
        <v>2</v>
      </c>
      <c r="J23" s="132">
        <v>75</v>
      </c>
      <c r="K23" s="115">
        <v>3</v>
      </c>
      <c r="L23" s="114">
        <f t="shared" si="23"/>
        <v>234</v>
      </c>
      <c r="M23" s="127">
        <f t="shared" si="1"/>
        <v>22</v>
      </c>
      <c r="N23" s="116" t="s">
        <v>320</v>
      </c>
      <c r="O23" s="132">
        <v>48.5</v>
      </c>
      <c r="P23" s="117">
        <v>2</v>
      </c>
      <c r="Q23" s="116" t="s">
        <v>321</v>
      </c>
      <c r="R23" s="132">
        <v>50</v>
      </c>
      <c r="S23" s="117">
        <v>1</v>
      </c>
      <c r="T23" s="132">
        <v>41</v>
      </c>
      <c r="U23" s="115">
        <v>1</v>
      </c>
      <c r="V23" s="130">
        <f t="shared" si="24"/>
        <v>373.5</v>
      </c>
      <c r="W23" s="118">
        <f t="shared" si="25"/>
        <v>20</v>
      </c>
      <c r="X23" s="4"/>
      <c r="Y23" s="35">
        <v>260</v>
      </c>
      <c r="Z23" s="36">
        <f t="shared" si="29"/>
        <v>12</v>
      </c>
      <c r="AA23" s="5">
        <v>269</v>
      </c>
      <c r="AC23" s="50">
        <v>7</v>
      </c>
      <c r="AD23" s="61" t="s">
        <v>9</v>
      </c>
      <c r="AE23" s="64">
        <f t="shared" si="30"/>
        <v>0</v>
      </c>
      <c r="AF23" s="51">
        <f t="shared" si="31"/>
        <v>0</v>
      </c>
      <c r="AG23" s="51">
        <f t="shared" si="38"/>
        <v>0</v>
      </c>
      <c r="AH23" s="51">
        <f t="shared" si="32"/>
        <v>0</v>
      </c>
      <c r="AI23" s="51">
        <f t="shared" si="33"/>
        <v>0</v>
      </c>
      <c r="AJ23" s="51">
        <f t="shared" si="34"/>
        <v>0</v>
      </c>
      <c r="AK23" s="51">
        <f t="shared" si="35"/>
        <v>0</v>
      </c>
      <c r="AL23" s="51">
        <f t="shared" si="36"/>
        <v>0</v>
      </c>
      <c r="AM23" s="52">
        <f t="shared" si="37"/>
        <v>0</v>
      </c>
    </row>
    <row r="24" spans="1:39" s="5" customFormat="1" ht="24.9" customHeight="1" thickBot="1" x14ac:dyDescent="0.35">
      <c r="A24" s="131">
        <v>6</v>
      </c>
      <c r="B24" s="131">
        <v>2</v>
      </c>
      <c r="C24" s="131" t="s">
        <v>102</v>
      </c>
      <c r="D24" s="116" t="s">
        <v>318</v>
      </c>
      <c r="E24" s="132">
        <v>91</v>
      </c>
      <c r="F24" s="115">
        <v>2</v>
      </c>
      <c r="G24" s="116" t="s">
        <v>319</v>
      </c>
      <c r="H24" s="132">
        <v>61</v>
      </c>
      <c r="I24" s="115">
        <v>3</v>
      </c>
      <c r="J24" s="132">
        <v>95</v>
      </c>
      <c r="K24" s="115">
        <v>1</v>
      </c>
      <c r="L24" s="114">
        <f t="shared" si="23"/>
        <v>247</v>
      </c>
      <c r="M24" s="127">
        <f t="shared" si="1"/>
        <v>12</v>
      </c>
      <c r="N24" s="116" t="s">
        <v>320</v>
      </c>
      <c r="O24" s="132">
        <v>43</v>
      </c>
      <c r="P24" s="117">
        <v>3</v>
      </c>
      <c r="Q24" s="116" t="s">
        <v>321</v>
      </c>
      <c r="R24" s="132">
        <v>46</v>
      </c>
      <c r="S24" s="117">
        <v>2</v>
      </c>
      <c r="T24" s="132">
        <v>37</v>
      </c>
      <c r="U24" s="115">
        <v>2</v>
      </c>
      <c r="V24" s="130">
        <f t="shared" si="24"/>
        <v>373</v>
      </c>
      <c r="W24" s="118">
        <f t="shared" si="25"/>
        <v>21</v>
      </c>
      <c r="X24" s="4"/>
      <c r="Y24" s="37">
        <v>250</v>
      </c>
      <c r="Z24" s="38">
        <f>FREQUENCY($V$4:$V$236,AA14:AA48)</f>
        <v>7</v>
      </c>
      <c r="AC24" s="50">
        <v>8</v>
      </c>
      <c r="AD24" s="61" t="s">
        <v>9</v>
      </c>
      <c r="AE24" s="64">
        <f t="shared" si="30"/>
        <v>0</v>
      </c>
      <c r="AF24" s="51">
        <f t="shared" si="31"/>
        <v>0</v>
      </c>
      <c r="AG24" s="51">
        <f t="shared" si="38"/>
        <v>0</v>
      </c>
      <c r="AH24" s="51">
        <f t="shared" si="32"/>
        <v>0</v>
      </c>
      <c r="AI24" s="51">
        <f t="shared" si="33"/>
        <v>0</v>
      </c>
      <c r="AJ24" s="51">
        <f t="shared" si="34"/>
        <v>0</v>
      </c>
      <c r="AK24" s="51">
        <f t="shared" si="35"/>
        <v>0</v>
      </c>
      <c r="AL24" s="51">
        <f t="shared" si="36"/>
        <v>0</v>
      </c>
      <c r="AM24" s="52">
        <f t="shared" si="37"/>
        <v>0</v>
      </c>
    </row>
    <row r="25" spans="1:39" s="5" customFormat="1" ht="24.9" customHeight="1" thickBot="1" x14ac:dyDescent="0.35">
      <c r="A25" s="131">
        <v>10</v>
      </c>
      <c r="B25" s="131">
        <v>28</v>
      </c>
      <c r="C25" s="131" t="s">
        <v>103</v>
      </c>
      <c r="D25" s="116" t="s">
        <v>318</v>
      </c>
      <c r="E25" s="132">
        <v>84</v>
      </c>
      <c r="F25" s="115">
        <v>2</v>
      </c>
      <c r="G25" s="116" t="s">
        <v>319</v>
      </c>
      <c r="H25" s="132">
        <v>72</v>
      </c>
      <c r="I25" s="115">
        <v>2</v>
      </c>
      <c r="J25" s="132">
        <v>87</v>
      </c>
      <c r="K25" s="115">
        <v>2</v>
      </c>
      <c r="L25" s="114">
        <f t="shared" si="23"/>
        <v>243</v>
      </c>
      <c r="M25" s="127">
        <f t="shared" si="1"/>
        <v>17</v>
      </c>
      <c r="N25" s="116" t="s">
        <v>320</v>
      </c>
      <c r="O25" s="132">
        <v>45.5</v>
      </c>
      <c r="P25" s="117">
        <v>3</v>
      </c>
      <c r="Q25" s="116" t="s">
        <v>321</v>
      </c>
      <c r="R25" s="132">
        <v>39.5</v>
      </c>
      <c r="S25" s="117">
        <v>3</v>
      </c>
      <c r="T25" s="132">
        <v>45</v>
      </c>
      <c r="U25" s="115">
        <v>1</v>
      </c>
      <c r="V25" s="130">
        <f t="shared" si="24"/>
        <v>373</v>
      </c>
      <c r="W25" s="118">
        <f t="shared" si="25"/>
        <v>21</v>
      </c>
      <c r="X25" s="4"/>
      <c r="Y25" s="33">
        <v>240</v>
      </c>
      <c r="Z25" s="39">
        <f>FREQUENCY($V$4:$V$236,AA28:AA49)</f>
        <v>18</v>
      </c>
      <c r="AC25" s="66">
        <v>9</v>
      </c>
      <c r="AD25" s="67" t="s">
        <v>9</v>
      </c>
      <c r="AE25" s="64">
        <f t="shared" si="30"/>
        <v>0</v>
      </c>
      <c r="AF25" s="51">
        <f t="shared" si="31"/>
        <v>0</v>
      </c>
      <c r="AG25" s="51">
        <f t="shared" si="38"/>
        <v>0</v>
      </c>
      <c r="AH25" s="51">
        <f t="shared" si="32"/>
        <v>0</v>
      </c>
      <c r="AI25" s="51">
        <f t="shared" si="33"/>
        <v>0</v>
      </c>
      <c r="AJ25" s="51">
        <f t="shared" si="34"/>
        <v>0</v>
      </c>
      <c r="AK25" s="51">
        <f t="shared" si="35"/>
        <v>0</v>
      </c>
      <c r="AL25" s="51">
        <f t="shared" si="36"/>
        <v>0</v>
      </c>
      <c r="AM25" s="52">
        <f t="shared" si="37"/>
        <v>0</v>
      </c>
    </row>
    <row r="26" spans="1:39" s="5" customFormat="1" ht="24.9" customHeight="1" x14ac:dyDescent="0.3">
      <c r="A26" s="131">
        <v>4</v>
      </c>
      <c r="B26" s="131">
        <v>4</v>
      </c>
      <c r="C26" s="131" t="s">
        <v>72</v>
      </c>
      <c r="D26" s="116" t="s">
        <v>318</v>
      </c>
      <c r="E26" s="132">
        <v>92</v>
      </c>
      <c r="F26" s="115">
        <v>1</v>
      </c>
      <c r="G26" s="116" t="s">
        <v>319</v>
      </c>
      <c r="H26" s="132">
        <v>51</v>
      </c>
      <c r="I26" s="115">
        <v>4</v>
      </c>
      <c r="J26" s="132">
        <v>79</v>
      </c>
      <c r="K26" s="115">
        <v>3</v>
      </c>
      <c r="L26" s="114">
        <f t="shared" si="23"/>
        <v>222</v>
      </c>
      <c r="M26" s="127">
        <f t="shared" si="1"/>
        <v>35</v>
      </c>
      <c r="N26" s="116" t="s">
        <v>320</v>
      </c>
      <c r="O26" s="132">
        <v>48</v>
      </c>
      <c r="P26" s="117">
        <v>2</v>
      </c>
      <c r="Q26" s="116" t="s">
        <v>321</v>
      </c>
      <c r="R26" s="132">
        <v>50</v>
      </c>
      <c r="S26" s="117">
        <v>1</v>
      </c>
      <c r="T26" s="132">
        <v>50</v>
      </c>
      <c r="U26" s="115">
        <v>1</v>
      </c>
      <c r="V26" s="130">
        <f t="shared" si="24"/>
        <v>370</v>
      </c>
      <c r="W26" s="118">
        <f t="shared" si="25"/>
        <v>23</v>
      </c>
      <c r="X26" s="4"/>
      <c r="Y26" s="35">
        <v>230</v>
      </c>
      <c r="Z26" s="36">
        <f>FREQUENCY($V$4:$V$236,AA29:AA50)</f>
        <v>12</v>
      </c>
      <c r="AC26" s="166" t="s">
        <v>56</v>
      </c>
      <c r="AD26" s="167"/>
      <c r="AE26" s="98">
        <f t="shared" ref="AE26:AM26" si="39">SUM(AE17:AE25)</f>
        <v>0</v>
      </c>
      <c r="AF26" s="76">
        <f t="shared" si="39"/>
        <v>0</v>
      </c>
      <c r="AG26" s="76">
        <f t="shared" si="39"/>
        <v>0</v>
      </c>
      <c r="AH26" s="76">
        <f t="shared" si="39"/>
        <v>0</v>
      </c>
      <c r="AI26" s="76">
        <f t="shared" si="39"/>
        <v>0</v>
      </c>
      <c r="AJ26" s="76">
        <f t="shared" si="39"/>
        <v>0</v>
      </c>
      <c r="AK26" s="76">
        <f t="shared" si="39"/>
        <v>0</v>
      </c>
      <c r="AL26" s="76">
        <f t="shared" si="39"/>
        <v>0</v>
      </c>
      <c r="AM26" s="99">
        <f t="shared" si="39"/>
        <v>0</v>
      </c>
    </row>
    <row r="27" spans="1:39" s="5" customFormat="1" ht="24.9" customHeight="1" thickBot="1" x14ac:dyDescent="0.35">
      <c r="A27" s="131">
        <v>1</v>
      </c>
      <c r="B27" s="131">
        <v>18</v>
      </c>
      <c r="C27" s="131" t="s">
        <v>104</v>
      </c>
      <c r="D27" s="116" t="s">
        <v>318</v>
      </c>
      <c r="E27" s="132">
        <v>78</v>
      </c>
      <c r="F27" s="115">
        <v>3</v>
      </c>
      <c r="G27" s="116" t="s">
        <v>319</v>
      </c>
      <c r="H27" s="132">
        <v>76</v>
      </c>
      <c r="I27" s="115">
        <v>2</v>
      </c>
      <c r="J27" s="132">
        <v>67</v>
      </c>
      <c r="K27" s="115">
        <v>4</v>
      </c>
      <c r="L27" s="114">
        <f t="shared" si="23"/>
        <v>221</v>
      </c>
      <c r="M27" s="127">
        <f t="shared" si="1"/>
        <v>36</v>
      </c>
      <c r="N27" s="116" t="s">
        <v>320</v>
      </c>
      <c r="O27" s="132">
        <v>50</v>
      </c>
      <c r="P27" s="117">
        <v>1</v>
      </c>
      <c r="Q27" s="116" t="s">
        <v>321</v>
      </c>
      <c r="R27" s="132">
        <v>50</v>
      </c>
      <c r="S27" s="117">
        <v>1</v>
      </c>
      <c r="T27" s="132">
        <v>48</v>
      </c>
      <c r="U27" s="115">
        <v>1</v>
      </c>
      <c r="V27" s="130">
        <f t="shared" si="24"/>
        <v>369</v>
      </c>
      <c r="W27" s="118">
        <f t="shared" si="25"/>
        <v>24</v>
      </c>
      <c r="X27" s="4"/>
      <c r="Y27" s="35">
        <v>220</v>
      </c>
      <c r="Z27" s="36">
        <f>FREQUENCY($V$4:$V$236,AA30:AA51)</f>
        <v>10</v>
      </c>
      <c r="AA27" s="5">
        <v>259</v>
      </c>
      <c r="AC27" s="147"/>
      <c r="AD27" s="168"/>
      <c r="AE27" s="144">
        <f>SUM(AE26:AM26)</f>
        <v>0</v>
      </c>
      <c r="AF27" s="145"/>
      <c r="AG27" s="145"/>
      <c r="AH27" s="145"/>
      <c r="AI27" s="145"/>
      <c r="AJ27" s="145"/>
      <c r="AK27" s="145"/>
      <c r="AL27" s="145"/>
      <c r="AM27" s="146"/>
    </row>
    <row r="28" spans="1:39" s="5" customFormat="1" ht="24.9" customHeight="1" x14ac:dyDescent="0.3">
      <c r="A28" s="131">
        <v>6</v>
      </c>
      <c r="B28" s="131">
        <v>23</v>
      </c>
      <c r="C28" s="131" t="s">
        <v>105</v>
      </c>
      <c r="D28" s="116" t="s">
        <v>318</v>
      </c>
      <c r="E28" s="132">
        <v>85</v>
      </c>
      <c r="F28" s="115">
        <v>2</v>
      </c>
      <c r="G28" s="116" t="s">
        <v>319</v>
      </c>
      <c r="H28" s="132">
        <v>46</v>
      </c>
      <c r="I28" s="115">
        <v>4</v>
      </c>
      <c r="J28" s="132">
        <v>90</v>
      </c>
      <c r="K28" s="115">
        <v>1</v>
      </c>
      <c r="L28" s="114">
        <f t="shared" si="23"/>
        <v>221</v>
      </c>
      <c r="M28" s="127">
        <f t="shared" si="1"/>
        <v>36</v>
      </c>
      <c r="N28" s="116" t="s">
        <v>320</v>
      </c>
      <c r="O28" s="132">
        <v>50</v>
      </c>
      <c r="P28" s="117">
        <v>1</v>
      </c>
      <c r="Q28" s="116" t="s">
        <v>321</v>
      </c>
      <c r="R28" s="132">
        <v>48</v>
      </c>
      <c r="S28" s="117">
        <v>1</v>
      </c>
      <c r="T28" s="132">
        <v>50</v>
      </c>
      <c r="U28" s="115">
        <v>1</v>
      </c>
      <c r="V28" s="130">
        <f t="shared" si="24"/>
        <v>369</v>
      </c>
      <c r="W28" s="118">
        <f t="shared" si="25"/>
        <v>24</v>
      </c>
      <c r="X28" s="4"/>
      <c r="Y28" s="35">
        <v>210</v>
      </c>
      <c r="Z28" s="36">
        <f>FREQUENCY($V$4:$V$236,AA31:AA52)</f>
        <v>13</v>
      </c>
      <c r="AA28" s="5">
        <v>249</v>
      </c>
    </row>
    <row r="29" spans="1:39" s="5" customFormat="1" ht="24.9" customHeight="1" thickBot="1" x14ac:dyDescent="0.35">
      <c r="A29" s="131">
        <v>5</v>
      </c>
      <c r="B29" s="131">
        <v>1</v>
      </c>
      <c r="C29" s="131" t="s">
        <v>106</v>
      </c>
      <c r="D29" s="116" t="s">
        <v>318</v>
      </c>
      <c r="E29" s="132">
        <v>88</v>
      </c>
      <c r="F29" s="115">
        <v>2</v>
      </c>
      <c r="G29" s="116" t="s">
        <v>319</v>
      </c>
      <c r="H29" s="132">
        <v>57</v>
      </c>
      <c r="I29" s="115">
        <v>3</v>
      </c>
      <c r="J29" s="132">
        <v>81</v>
      </c>
      <c r="K29" s="115">
        <v>2</v>
      </c>
      <c r="L29" s="114">
        <f t="shared" si="23"/>
        <v>226</v>
      </c>
      <c r="M29" s="127">
        <f t="shared" si="1"/>
        <v>30</v>
      </c>
      <c r="N29" s="116" t="s">
        <v>320</v>
      </c>
      <c r="O29" s="132">
        <v>50</v>
      </c>
      <c r="P29" s="117">
        <v>1</v>
      </c>
      <c r="Q29" s="116" t="s">
        <v>321</v>
      </c>
      <c r="R29" s="132">
        <v>44</v>
      </c>
      <c r="S29" s="117">
        <v>3</v>
      </c>
      <c r="T29" s="132">
        <v>48</v>
      </c>
      <c r="U29" s="115">
        <v>1</v>
      </c>
      <c r="V29" s="130">
        <f t="shared" si="24"/>
        <v>368</v>
      </c>
      <c r="W29" s="118">
        <f t="shared" si="25"/>
        <v>26</v>
      </c>
      <c r="X29" s="4"/>
      <c r="Y29" s="37">
        <v>200</v>
      </c>
      <c r="Z29" s="38">
        <f>FREQUENCY($V$4:$V$236,AA32:AA53)</f>
        <v>9</v>
      </c>
      <c r="AA29" s="5">
        <v>239</v>
      </c>
    </row>
    <row r="30" spans="1:39" s="5" customFormat="1" ht="24.9" customHeight="1" x14ac:dyDescent="0.3">
      <c r="A30" s="131">
        <v>5</v>
      </c>
      <c r="B30" s="131">
        <v>9</v>
      </c>
      <c r="C30" s="131" t="s">
        <v>107</v>
      </c>
      <c r="D30" s="116" t="s">
        <v>318</v>
      </c>
      <c r="E30" s="132">
        <v>69</v>
      </c>
      <c r="F30" s="115">
        <v>4</v>
      </c>
      <c r="G30" s="116" t="s">
        <v>319</v>
      </c>
      <c r="H30" s="132">
        <v>78</v>
      </c>
      <c r="I30" s="115">
        <v>1</v>
      </c>
      <c r="J30" s="132">
        <v>81</v>
      </c>
      <c r="K30" s="115">
        <v>2</v>
      </c>
      <c r="L30" s="114">
        <f t="shared" si="23"/>
        <v>228</v>
      </c>
      <c r="M30" s="127">
        <f t="shared" si="1"/>
        <v>29</v>
      </c>
      <c r="N30" s="116" t="s">
        <v>320</v>
      </c>
      <c r="O30" s="132">
        <v>45.5</v>
      </c>
      <c r="P30" s="117">
        <v>3</v>
      </c>
      <c r="Q30" s="116" t="s">
        <v>321</v>
      </c>
      <c r="R30" s="132">
        <v>43.5</v>
      </c>
      <c r="S30" s="117">
        <v>3</v>
      </c>
      <c r="T30" s="132">
        <v>50</v>
      </c>
      <c r="U30" s="115">
        <v>1</v>
      </c>
      <c r="V30" s="130">
        <f t="shared" si="24"/>
        <v>367</v>
      </c>
      <c r="W30" s="118">
        <f t="shared" si="25"/>
        <v>27</v>
      </c>
      <c r="X30" s="4"/>
      <c r="Y30" s="33">
        <v>190</v>
      </c>
      <c r="Z30" s="39">
        <f>FREQUENCY($V$4:$V$236,AA33:AA55)</f>
        <v>8</v>
      </c>
      <c r="AA30" s="5">
        <v>229</v>
      </c>
    </row>
    <row r="31" spans="1:39" s="5" customFormat="1" ht="24.9" customHeight="1" x14ac:dyDescent="0.3">
      <c r="A31" s="131">
        <v>4</v>
      </c>
      <c r="B31" s="131">
        <v>1</v>
      </c>
      <c r="C31" s="131" t="s">
        <v>108</v>
      </c>
      <c r="D31" s="116" t="s">
        <v>318</v>
      </c>
      <c r="E31" s="132">
        <v>72</v>
      </c>
      <c r="F31" s="115">
        <v>4</v>
      </c>
      <c r="G31" s="116" t="s">
        <v>319</v>
      </c>
      <c r="H31" s="132">
        <v>61</v>
      </c>
      <c r="I31" s="115">
        <v>3</v>
      </c>
      <c r="J31" s="132">
        <v>88</v>
      </c>
      <c r="K31" s="115">
        <v>2</v>
      </c>
      <c r="L31" s="114">
        <f t="shared" si="23"/>
        <v>221</v>
      </c>
      <c r="M31" s="127">
        <f t="shared" si="1"/>
        <v>36</v>
      </c>
      <c r="N31" s="116" t="s">
        <v>320</v>
      </c>
      <c r="O31" s="132">
        <v>50</v>
      </c>
      <c r="P31" s="117">
        <v>1</v>
      </c>
      <c r="Q31" s="116" t="s">
        <v>321</v>
      </c>
      <c r="R31" s="132">
        <v>47.5</v>
      </c>
      <c r="S31" s="117">
        <v>1</v>
      </c>
      <c r="T31" s="132">
        <v>47</v>
      </c>
      <c r="U31" s="115">
        <v>1</v>
      </c>
      <c r="V31" s="130">
        <f t="shared" si="24"/>
        <v>365.5</v>
      </c>
      <c r="W31" s="118">
        <f t="shared" si="25"/>
        <v>28</v>
      </c>
      <c r="X31" s="4"/>
      <c r="Y31" s="35">
        <v>180</v>
      </c>
      <c r="Z31" s="36">
        <f>FREQUENCY($V$4:$V$236,AA34:AA56)</f>
        <v>8</v>
      </c>
      <c r="AA31" s="5">
        <v>219</v>
      </c>
    </row>
    <row r="32" spans="1:39" s="5" customFormat="1" ht="24.9" customHeight="1" x14ac:dyDescent="0.3">
      <c r="A32" s="131">
        <v>5</v>
      </c>
      <c r="B32" s="131">
        <v>5</v>
      </c>
      <c r="C32" s="131" t="s">
        <v>109</v>
      </c>
      <c r="D32" s="116" t="s">
        <v>318</v>
      </c>
      <c r="E32" s="132">
        <v>80</v>
      </c>
      <c r="F32" s="115">
        <v>3</v>
      </c>
      <c r="G32" s="116" t="s">
        <v>319</v>
      </c>
      <c r="H32" s="132">
        <v>77</v>
      </c>
      <c r="I32" s="115">
        <v>1</v>
      </c>
      <c r="J32" s="132">
        <v>74</v>
      </c>
      <c r="K32" s="115">
        <v>3</v>
      </c>
      <c r="L32" s="114">
        <f t="shared" si="23"/>
        <v>231</v>
      </c>
      <c r="M32" s="127">
        <f t="shared" si="1"/>
        <v>25</v>
      </c>
      <c r="N32" s="116" t="s">
        <v>320</v>
      </c>
      <c r="O32" s="132">
        <v>44</v>
      </c>
      <c r="P32" s="117">
        <v>3</v>
      </c>
      <c r="Q32" s="116" t="s">
        <v>321</v>
      </c>
      <c r="R32" s="132">
        <v>43</v>
      </c>
      <c r="S32" s="117">
        <v>3</v>
      </c>
      <c r="T32" s="132">
        <v>45</v>
      </c>
      <c r="U32" s="115">
        <v>1</v>
      </c>
      <c r="V32" s="130">
        <f t="shared" si="24"/>
        <v>363</v>
      </c>
      <c r="W32" s="118">
        <f t="shared" si="25"/>
        <v>29</v>
      </c>
      <c r="X32" s="4"/>
      <c r="Y32" s="35">
        <v>170</v>
      </c>
      <c r="Z32" s="36">
        <f>FREQUENCY($V$4:$V$236,AA35:AA57)</f>
        <v>6</v>
      </c>
      <c r="AA32" s="5">
        <v>209</v>
      </c>
    </row>
    <row r="33" spans="1:27" s="5" customFormat="1" ht="24.9" customHeight="1" x14ac:dyDescent="0.3">
      <c r="A33" s="131">
        <v>2</v>
      </c>
      <c r="B33" s="131">
        <v>12</v>
      </c>
      <c r="C33" s="131" t="s">
        <v>110</v>
      </c>
      <c r="D33" s="116" t="s">
        <v>318</v>
      </c>
      <c r="E33" s="132">
        <v>84</v>
      </c>
      <c r="F33" s="115">
        <v>2</v>
      </c>
      <c r="G33" s="116" t="s">
        <v>319</v>
      </c>
      <c r="H33" s="132">
        <v>69</v>
      </c>
      <c r="I33" s="115">
        <v>2</v>
      </c>
      <c r="J33" s="132">
        <v>84</v>
      </c>
      <c r="K33" s="115">
        <v>2</v>
      </c>
      <c r="L33" s="114">
        <f t="shared" si="23"/>
        <v>237</v>
      </c>
      <c r="M33" s="127">
        <f t="shared" si="1"/>
        <v>21</v>
      </c>
      <c r="N33" s="116" t="s">
        <v>320</v>
      </c>
      <c r="O33" s="132">
        <v>43</v>
      </c>
      <c r="P33" s="117">
        <v>3</v>
      </c>
      <c r="Q33" s="116" t="s">
        <v>321</v>
      </c>
      <c r="R33" s="132">
        <v>42</v>
      </c>
      <c r="S33" s="117">
        <v>3</v>
      </c>
      <c r="T33" s="132">
        <v>40</v>
      </c>
      <c r="U33" s="115">
        <v>1</v>
      </c>
      <c r="V33" s="130">
        <f t="shared" si="24"/>
        <v>362</v>
      </c>
      <c r="W33" s="118">
        <f t="shared" si="25"/>
        <v>30</v>
      </c>
      <c r="X33" s="4"/>
      <c r="Y33" s="35">
        <v>160</v>
      </c>
      <c r="Z33" s="36">
        <f>FREQUENCY($V$4:$V$236,AA36:AA58)</f>
        <v>10</v>
      </c>
      <c r="AA33" s="5">
        <v>199</v>
      </c>
    </row>
    <row r="34" spans="1:27" s="5" customFormat="1" ht="24.9" customHeight="1" thickBot="1" x14ac:dyDescent="0.35">
      <c r="A34" s="131">
        <v>2</v>
      </c>
      <c r="B34" s="131">
        <v>8</v>
      </c>
      <c r="C34" s="131" t="s">
        <v>111</v>
      </c>
      <c r="D34" s="116" t="s">
        <v>318</v>
      </c>
      <c r="E34" s="132">
        <v>89</v>
      </c>
      <c r="F34" s="115">
        <v>2</v>
      </c>
      <c r="G34" s="116" t="s">
        <v>319</v>
      </c>
      <c r="H34" s="132">
        <v>58</v>
      </c>
      <c r="I34" s="115">
        <v>3</v>
      </c>
      <c r="J34" s="132">
        <v>86</v>
      </c>
      <c r="K34" s="115">
        <v>2</v>
      </c>
      <c r="L34" s="114">
        <f t="shared" si="23"/>
        <v>233</v>
      </c>
      <c r="M34" s="127">
        <f t="shared" si="1"/>
        <v>24</v>
      </c>
      <c r="N34" s="116" t="s">
        <v>320</v>
      </c>
      <c r="O34" s="132">
        <v>47.5</v>
      </c>
      <c r="P34" s="117">
        <v>2</v>
      </c>
      <c r="Q34" s="116" t="s">
        <v>321</v>
      </c>
      <c r="R34" s="132">
        <v>38</v>
      </c>
      <c r="S34" s="117">
        <v>3</v>
      </c>
      <c r="T34" s="132">
        <v>42</v>
      </c>
      <c r="U34" s="115">
        <v>1</v>
      </c>
      <c r="V34" s="130">
        <f t="shared" si="24"/>
        <v>360.5</v>
      </c>
      <c r="W34" s="118">
        <f t="shared" si="25"/>
        <v>31</v>
      </c>
      <c r="X34" s="4"/>
      <c r="Y34" s="37">
        <v>150</v>
      </c>
      <c r="Z34" s="38">
        <f>FREQUENCY($V$4:$V$236,AA38:AA59)</f>
        <v>0</v>
      </c>
      <c r="AA34" s="5">
        <v>189</v>
      </c>
    </row>
    <row r="35" spans="1:27" s="5" customFormat="1" ht="24.9" customHeight="1" x14ac:dyDescent="0.3">
      <c r="A35" s="131">
        <v>8</v>
      </c>
      <c r="B35" s="131">
        <v>1</v>
      </c>
      <c r="C35" s="131" t="s">
        <v>112</v>
      </c>
      <c r="D35" s="116" t="s">
        <v>318</v>
      </c>
      <c r="E35" s="132">
        <v>89</v>
      </c>
      <c r="F35" s="115">
        <v>2</v>
      </c>
      <c r="G35" s="116" t="s">
        <v>319</v>
      </c>
      <c r="H35" s="132">
        <v>76</v>
      </c>
      <c r="I35" s="115">
        <v>2</v>
      </c>
      <c r="J35" s="132">
        <v>77</v>
      </c>
      <c r="K35" s="115">
        <v>3</v>
      </c>
      <c r="L35" s="114">
        <f t="shared" si="23"/>
        <v>242</v>
      </c>
      <c r="M35" s="127">
        <f t="shared" si="1"/>
        <v>19</v>
      </c>
      <c r="N35" s="116" t="s">
        <v>320</v>
      </c>
      <c r="O35" s="132">
        <v>41</v>
      </c>
      <c r="P35" s="117">
        <v>4</v>
      </c>
      <c r="Q35" s="116" t="s">
        <v>321</v>
      </c>
      <c r="R35" s="132">
        <v>34</v>
      </c>
      <c r="S35" s="117">
        <v>4</v>
      </c>
      <c r="T35" s="132">
        <v>42</v>
      </c>
      <c r="U35" s="115">
        <v>1</v>
      </c>
      <c r="V35" s="130">
        <f t="shared" si="24"/>
        <v>359</v>
      </c>
      <c r="W35" s="118">
        <f t="shared" si="25"/>
        <v>32</v>
      </c>
      <c r="X35" s="4"/>
      <c r="Y35" s="43">
        <v>140</v>
      </c>
      <c r="Z35" s="39">
        <f>FREQUENCY($V$4:$V$236,AA39:AA60)</f>
        <v>0</v>
      </c>
      <c r="AA35" s="5">
        <v>179</v>
      </c>
    </row>
    <row r="36" spans="1:27" s="5" customFormat="1" ht="24.9" customHeight="1" x14ac:dyDescent="0.3">
      <c r="A36" s="131">
        <v>10</v>
      </c>
      <c r="B36" s="131">
        <v>25</v>
      </c>
      <c r="C36" s="131" t="s">
        <v>113</v>
      </c>
      <c r="D36" s="116" t="s">
        <v>318</v>
      </c>
      <c r="E36" s="132">
        <v>86</v>
      </c>
      <c r="F36" s="115">
        <v>2</v>
      </c>
      <c r="G36" s="116" t="s">
        <v>319</v>
      </c>
      <c r="H36" s="132">
        <v>50</v>
      </c>
      <c r="I36" s="115">
        <v>4</v>
      </c>
      <c r="J36" s="132">
        <v>89</v>
      </c>
      <c r="K36" s="115">
        <v>2</v>
      </c>
      <c r="L36" s="114">
        <f t="shared" si="23"/>
        <v>225</v>
      </c>
      <c r="M36" s="127">
        <f t="shared" si="1"/>
        <v>32</v>
      </c>
      <c r="N36" s="116" t="s">
        <v>320</v>
      </c>
      <c r="O36" s="132">
        <v>45.5</v>
      </c>
      <c r="P36" s="117">
        <v>3</v>
      </c>
      <c r="Q36" s="116" t="s">
        <v>321</v>
      </c>
      <c r="R36" s="132">
        <v>36.5</v>
      </c>
      <c r="S36" s="117">
        <v>4</v>
      </c>
      <c r="T36" s="132">
        <v>50</v>
      </c>
      <c r="U36" s="115">
        <v>1</v>
      </c>
      <c r="V36" s="130">
        <f t="shared" si="24"/>
        <v>357</v>
      </c>
      <c r="W36" s="118">
        <f t="shared" si="25"/>
        <v>33</v>
      </c>
      <c r="X36" s="4"/>
      <c r="Y36" s="40" t="s">
        <v>35</v>
      </c>
      <c r="Z36" s="36">
        <f>FREQUENCY($V$4:$V$236,AA40:AA61)</f>
        <v>0</v>
      </c>
      <c r="AA36" s="5">
        <v>169</v>
      </c>
    </row>
    <row r="37" spans="1:27" s="5" customFormat="1" ht="24.9" customHeight="1" thickBot="1" x14ac:dyDescent="0.35">
      <c r="A37" s="131">
        <v>5</v>
      </c>
      <c r="B37" s="131">
        <v>22</v>
      </c>
      <c r="C37" s="131" t="s">
        <v>114</v>
      </c>
      <c r="D37" s="116" t="s">
        <v>318</v>
      </c>
      <c r="E37" s="132">
        <v>65</v>
      </c>
      <c r="F37" s="115">
        <v>4</v>
      </c>
      <c r="G37" s="116" t="s">
        <v>319</v>
      </c>
      <c r="H37" s="132">
        <v>69</v>
      </c>
      <c r="I37" s="115">
        <v>2</v>
      </c>
      <c r="J37" s="132">
        <v>84</v>
      </c>
      <c r="K37" s="115">
        <v>2</v>
      </c>
      <c r="L37" s="114">
        <f t="shared" si="23"/>
        <v>218</v>
      </c>
      <c r="M37" s="127">
        <f t="shared" si="1"/>
        <v>44</v>
      </c>
      <c r="N37" s="116" t="s">
        <v>320</v>
      </c>
      <c r="O37" s="132">
        <v>46</v>
      </c>
      <c r="P37" s="117">
        <v>3</v>
      </c>
      <c r="Q37" s="116" t="s">
        <v>321</v>
      </c>
      <c r="R37" s="132">
        <v>46.5</v>
      </c>
      <c r="S37" s="117">
        <v>2</v>
      </c>
      <c r="T37" s="132">
        <v>45</v>
      </c>
      <c r="U37" s="115">
        <v>1</v>
      </c>
      <c r="V37" s="130">
        <f t="shared" si="24"/>
        <v>355.5</v>
      </c>
      <c r="W37" s="118">
        <f t="shared" si="25"/>
        <v>34</v>
      </c>
      <c r="X37" s="4"/>
      <c r="Y37" s="41" t="s">
        <v>4</v>
      </c>
      <c r="Z37" s="42">
        <f>SUM(Z4:Z36)</f>
        <v>230</v>
      </c>
    </row>
    <row r="38" spans="1:27" s="5" customFormat="1" ht="24.9" customHeight="1" thickBot="1" x14ac:dyDescent="0.35">
      <c r="A38" s="131">
        <v>1</v>
      </c>
      <c r="B38" s="131">
        <v>6</v>
      </c>
      <c r="C38" s="131" t="s">
        <v>115</v>
      </c>
      <c r="D38" s="116" t="s">
        <v>318</v>
      </c>
      <c r="E38" s="132">
        <v>81</v>
      </c>
      <c r="F38" s="115">
        <v>3</v>
      </c>
      <c r="G38" s="116" t="s">
        <v>319</v>
      </c>
      <c r="H38" s="132">
        <v>58</v>
      </c>
      <c r="I38" s="115">
        <v>3</v>
      </c>
      <c r="J38" s="132">
        <v>70</v>
      </c>
      <c r="K38" s="115">
        <v>3</v>
      </c>
      <c r="L38" s="114">
        <f t="shared" si="23"/>
        <v>209</v>
      </c>
      <c r="M38" s="127">
        <f t="shared" si="1"/>
        <v>53</v>
      </c>
      <c r="N38" s="116" t="s">
        <v>320</v>
      </c>
      <c r="O38" s="132">
        <v>50</v>
      </c>
      <c r="P38" s="117">
        <v>1</v>
      </c>
      <c r="Q38" s="116" t="s">
        <v>321</v>
      </c>
      <c r="R38" s="132">
        <v>48</v>
      </c>
      <c r="S38" s="117">
        <v>1</v>
      </c>
      <c r="T38" s="132">
        <v>48</v>
      </c>
      <c r="U38" s="115">
        <v>1</v>
      </c>
      <c r="V38" s="130">
        <f t="shared" si="24"/>
        <v>355</v>
      </c>
      <c r="W38" s="118">
        <f t="shared" si="25"/>
        <v>35</v>
      </c>
      <c r="X38" s="4"/>
      <c r="Y38" s="4"/>
      <c r="Z38" s="6"/>
      <c r="AA38" s="5">
        <v>159</v>
      </c>
    </row>
    <row r="39" spans="1:27" s="5" customFormat="1" ht="24.9" customHeight="1" x14ac:dyDescent="0.3">
      <c r="A39" s="131">
        <v>2</v>
      </c>
      <c r="B39" s="131">
        <v>17</v>
      </c>
      <c r="C39" s="131" t="s">
        <v>116</v>
      </c>
      <c r="D39" s="116" t="s">
        <v>318</v>
      </c>
      <c r="E39" s="132">
        <v>83</v>
      </c>
      <c r="F39" s="115">
        <v>2</v>
      </c>
      <c r="G39" s="116" t="s">
        <v>319</v>
      </c>
      <c r="H39" s="132">
        <v>55</v>
      </c>
      <c r="I39" s="115">
        <v>3</v>
      </c>
      <c r="J39" s="132">
        <v>85</v>
      </c>
      <c r="K39" s="115">
        <v>2</v>
      </c>
      <c r="L39" s="114">
        <f t="shared" si="23"/>
        <v>223</v>
      </c>
      <c r="M39" s="127">
        <f t="shared" si="1"/>
        <v>33</v>
      </c>
      <c r="N39" s="116" t="s">
        <v>320</v>
      </c>
      <c r="O39" s="132">
        <v>44</v>
      </c>
      <c r="P39" s="117">
        <v>3</v>
      </c>
      <c r="Q39" s="116" t="s">
        <v>321</v>
      </c>
      <c r="R39" s="132">
        <v>45</v>
      </c>
      <c r="S39" s="117">
        <v>2</v>
      </c>
      <c r="T39" s="132">
        <v>42</v>
      </c>
      <c r="U39" s="115">
        <v>1</v>
      </c>
      <c r="V39" s="130">
        <f t="shared" si="24"/>
        <v>354</v>
      </c>
      <c r="W39" s="118">
        <f t="shared" si="25"/>
        <v>36</v>
      </c>
      <c r="X39" s="4"/>
      <c r="Y39" s="156" t="s">
        <v>5</v>
      </c>
      <c r="Z39" s="157"/>
      <c r="AA39" s="5">
        <v>149</v>
      </c>
    </row>
    <row r="40" spans="1:27" s="5" customFormat="1" ht="24.9" customHeight="1" thickBot="1" x14ac:dyDescent="0.35">
      <c r="A40" s="131">
        <v>5</v>
      </c>
      <c r="B40" s="131">
        <v>19</v>
      </c>
      <c r="C40" s="131" t="s">
        <v>117</v>
      </c>
      <c r="D40" s="116" t="s">
        <v>318</v>
      </c>
      <c r="E40" s="132">
        <v>64</v>
      </c>
      <c r="F40" s="115">
        <v>4</v>
      </c>
      <c r="G40" s="116" t="s">
        <v>319</v>
      </c>
      <c r="H40" s="132">
        <v>52</v>
      </c>
      <c r="I40" s="115">
        <v>4</v>
      </c>
      <c r="J40" s="132">
        <v>86</v>
      </c>
      <c r="K40" s="115">
        <v>2</v>
      </c>
      <c r="L40" s="114">
        <f t="shared" si="23"/>
        <v>202</v>
      </c>
      <c r="M40" s="127">
        <f t="shared" si="1"/>
        <v>60</v>
      </c>
      <c r="N40" s="116" t="s">
        <v>320</v>
      </c>
      <c r="O40" s="132">
        <v>50</v>
      </c>
      <c r="P40" s="117">
        <v>1</v>
      </c>
      <c r="Q40" s="116" t="s">
        <v>321</v>
      </c>
      <c r="R40" s="132">
        <v>50</v>
      </c>
      <c r="S40" s="117">
        <v>1</v>
      </c>
      <c r="T40" s="132">
        <v>50</v>
      </c>
      <c r="U40" s="115">
        <v>1</v>
      </c>
      <c r="V40" s="130">
        <f t="shared" si="24"/>
        <v>352</v>
      </c>
      <c r="W40" s="118">
        <f t="shared" si="25"/>
        <v>37</v>
      </c>
      <c r="X40" s="4"/>
      <c r="Y40" s="161">
        <f>MAX(V4:V236)</f>
        <v>423</v>
      </c>
      <c r="Z40" s="162"/>
      <c r="AA40" s="5">
        <v>139</v>
      </c>
    </row>
    <row r="41" spans="1:27" s="5" customFormat="1" ht="24.9" customHeight="1" x14ac:dyDescent="0.3">
      <c r="A41" s="131">
        <v>3</v>
      </c>
      <c r="B41" s="131">
        <v>3</v>
      </c>
      <c r="C41" s="131" t="s">
        <v>118</v>
      </c>
      <c r="D41" s="116" t="s">
        <v>318</v>
      </c>
      <c r="E41" s="132">
        <v>73</v>
      </c>
      <c r="F41" s="115">
        <v>3</v>
      </c>
      <c r="G41" s="116" t="s">
        <v>319</v>
      </c>
      <c r="H41" s="132">
        <v>66</v>
      </c>
      <c r="I41" s="115">
        <v>2</v>
      </c>
      <c r="J41" s="132">
        <v>80</v>
      </c>
      <c r="K41" s="115">
        <v>2</v>
      </c>
      <c r="L41" s="114">
        <f t="shared" si="23"/>
        <v>219</v>
      </c>
      <c r="M41" s="127">
        <f t="shared" si="1"/>
        <v>42</v>
      </c>
      <c r="N41" s="116" t="s">
        <v>320</v>
      </c>
      <c r="O41" s="132">
        <v>47.5</v>
      </c>
      <c r="P41" s="117">
        <v>2</v>
      </c>
      <c r="Q41" s="116" t="s">
        <v>321</v>
      </c>
      <c r="R41" s="132">
        <v>41</v>
      </c>
      <c r="S41" s="117">
        <v>3</v>
      </c>
      <c r="T41" s="132">
        <v>42</v>
      </c>
      <c r="U41" s="115">
        <v>1</v>
      </c>
      <c r="V41" s="130">
        <f t="shared" si="24"/>
        <v>349.5</v>
      </c>
      <c r="W41" s="118">
        <f t="shared" si="25"/>
        <v>38</v>
      </c>
      <c r="X41" s="4"/>
      <c r="Y41" s="156" t="s">
        <v>6</v>
      </c>
      <c r="Z41" s="157"/>
    </row>
    <row r="42" spans="1:27" s="5" customFormat="1" ht="24.9" customHeight="1" thickBot="1" x14ac:dyDescent="0.35">
      <c r="A42" s="131">
        <v>9</v>
      </c>
      <c r="B42" s="131">
        <v>5</v>
      </c>
      <c r="C42" s="131" t="s">
        <v>119</v>
      </c>
      <c r="D42" s="116" t="s">
        <v>318</v>
      </c>
      <c r="E42" s="132">
        <v>91</v>
      </c>
      <c r="F42" s="115">
        <v>2</v>
      </c>
      <c r="G42" s="116" t="s">
        <v>319</v>
      </c>
      <c r="H42" s="132">
        <v>67</v>
      </c>
      <c r="I42" s="115">
        <v>2</v>
      </c>
      <c r="J42" s="132">
        <v>68</v>
      </c>
      <c r="K42" s="115">
        <v>4</v>
      </c>
      <c r="L42" s="114">
        <f t="shared" si="23"/>
        <v>226</v>
      </c>
      <c r="M42" s="127">
        <f t="shared" si="1"/>
        <v>30</v>
      </c>
      <c r="N42" s="116" t="s">
        <v>320</v>
      </c>
      <c r="O42" s="132">
        <v>43.5</v>
      </c>
      <c r="P42" s="117">
        <v>3</v>
      </c>
      <c r="Q42" s="116" t="s">
        <v>321</v>
      </c>
      <c r="R42" s="132">
        <v>30</v>
      </c>
      <c r="S42" s="117">
        <v>4</v>
      </c>
      <c r="T42" s="132">
        <v>48</v>
      </c>
      <c r="U42" s="115">
        <v>1</v>
      </c>
      <c r="V42" s="130">
        <f t="shared" si="24"/>
        <v>347.5</v>
      </c>
      <c r="W42" s="118">
        <f t="shared" si="25"/>
        <v>39</v>
      </c>
      <c r="X42" s="4"/>
      <c r="Y42" s="154">
        <f>MIN(V4:V236)</f>
        <v>161</v>
      </c>
      <c r="Z42" s="155"/>
    </row>
    <row r="43" spans="1:27" s="5" customFormat="1" ht="24.9" customHeight="1" x14ac:dyDescent="0.3">
      <c r="A43" s="131">
        <v>3</v>
      </c>
      <c r="B43" s="131">
        <v>17</v>
      </c>
      <c r="C43" s="131" t="s">
        <v>120</v>
      </c>
      <c r="D43" s="116" t="s">
        <v>318</v>
      </c>
      <c r="E43" s="132">
        <v>82</v>
      </c>
      <c r="F43" s="115">
        <v>3</v>
      </c>
      <c r="G43" s="116" t="s">
        <v>319</v>
      </c>
      <c r="H43" s="132">
        <v>66</v>
      </c>
      <c r="I43" s="115">
        <v>2</v>
      </c>
      <c r="J43" s="132">
        <v>81</v>
      </c>
      <c r="K43" s="115">
        <v>2</v>
      </c>
      <c r="L43" s="114">
        <f t="shared" si="23"/>
        <v>229</v>
      </c>
      <c r="M43" s="127">
        <f t="shared" si="1"/>
        <v>28</v>
      </c>
      <c r="N43" s="116" t="s">
        <v>320</v>
      </c>
      <c r="O43" s="132">
        <v>46</v>
      </c>
      <c r="P43" s="117">
        <v>3</v>
      </c>
      <c r="Q43" s="116" t="s">
        <v>321</v>
      </c>
      <c r="R43" s="132">
        <v>41</v>
      </c>
      <c r="S43" s="117">
        <v>3</v>
      </c>
      <c r="T43" s="132">
        <v>29</v>
      </c>
      <c r="U43" s="115">
        <v>4</v>
      </c>
      <c r="V43" s="130">
        <f t="shared" si="24"/>
        <v>345</v>
      </c>
      <c r="W43" s="118">
        <f t="shared" si="25"/>
        <v>40</v>
      </c>
      <c r="X43" s="4"/>
    </row>
    <row r="44" spans="1:27" s="5" customFormat="1" ht="24.9" customHeight="1" x14ac:dyDescent="0.3">
      <c r="A44" s="131">
        <v>4</v>
      </c>
      <c r="B44" s="131">
        <v>22</v>
      </c>
      <c r="C44" s="131" t="s">
        <v>121</v>
      </c>
      <c r="D44" s="116" t="s">
        <v>318</v>
      </c>
      <c r="E44" s="132">
        <v>84</v>
      </c>
      <c r="F44" s="115">
        <v>2</v>
      </c>
      <c r="G44" s="116" t="s">
        <v>319</v>
      </c>
      <c r="H44" s="132">
        <v>56</v>
      </c>
      <c r="I44" s="115">
        <v>3</v>
      </c>
      <c r="J44" s="132">
        <v>64</v>
      </c>
      <c r="K44" s="115">
        <v>4</v>
      </c>
      <c r="L44" s="114">
        <f t="shared" si="23"/>
        <v>204</v>
      </c>
      <c r="M44" s="127">
        <f t="shared" si="1"/>
        <v>57</v>
      </c>
      <c r="N44" s="116" t="s">
        <v>320</v>
      </c>
      <c r="O44" s="132">
        <v>45.5</v>
      </c>
      <c r="P44" s="117">
        <v>3</v>
      </c>
      <c r="Q44" s="116" t="s">
        <v>321</v>
      </c>
      <c r="R44" s="132">
        <v>50</v>
      </c>
      <c r="S44" s="117">
        <v>1</v>
      </c>
      <c r="T44" s="132">
        <v>45</v>
      </c>
      <c r="U44" s="115">
        <v>1</v>
      </c>
      <c r="V44" s="130">
        <f t="shared" si="24"/>
        <v>344.5</v>
      </c>
      <c r="W44" s="118">
        <f t="shared" si="25"/>
        <v>41</v>
      </c>
      <c r="X44" s="4"/>
      <c r="Y44" s="13"/>
      <c r="Z44" s="13"/>
    </row>
    <row r="45" spans="1:27" s="5" customFormat="1" ht="24.9" customHeight="1" x14ac:dyDescent="0.3">
      <c r="A45" s="131">
        <v>4</v>
      </c>
      <c r="B45" s="131">
        <v>24</v>
      </c>
      <c r="C45" s="131" t="s">
        <v>122</v>
      </c>
      <c r="D45" s="116" t="s">
        <v>318</v>
      </c>
      <c r="E45" s="132">
        <v>78</v>
      </c>
      <c r="F45" s="115">
        <v>3</v>
      </c>
      <c r="G45" s="116" t="s">
        <v>319</v>
      </c>
      <c r="H45" s="132">
        <v>48</v>
      </c>
      <c r="I45" s="115">
        <v>4</v>
      </c>
      <c r="J45" s="132">
        <v>80</v>
      </c>
      <c r="K45" s="115">
        <v>2</v>
      </c>
      <c r="L45" s="114">
        <f t="shared" si="23"/>
        <v>206</v>
      </c>
      <c r="M45" s="127">
        <f t="shared" si="1"/>
        <v>54</v>
      </c>
      <c r="N45" s="116" t="s">
        <v>320</v>
      </c>
      <c r="O45" s="132">
        <v>50</v>
      </c>
      <c r="P45" s="117">
        <v>1</v>
      </c>
      <c r="Q45" s="116" t="s">
        <v>321</v>
      </c>
      <c r="R45" s="132">
        <v>43.5</v>
      </c>
      <c r="S45" s="117">
        <v>3</v>
      </c>
      <c r="T45" s="132">
        <v>45</v>
      </c>
      <c r="U45" s="115">
        <v>1</v>
      </c>
      <c r="V45" s="130">
        <f t="shared" si="24"/>
        <v>344.5</v>
      </c>
      <c r="W45" s="118">
        <f t="shared" si="25"/>
        <v>41</v>
      </c>
      <c r="X45" s="4"/>
      <c r="Y45" s="13"/>
      <c r="Z45" s="13"/>
    </row>
    <row r="46" spans="1:27" s="5" customFormat="1" ht="24.9" customHeight="1" x14ac:dyDescent="0.3">
      <c r="A46" s="131">
        <v>6</v>
      </c>
      <c r="B46" s="131">
        <v>12</v>
      </c>
      <c r="C46" s="131" t="s">
        <v>123</v>
      </c>
      <c r="D46" s="116" t="s">
        <v>318</v>
      </c>
      <c r="E46" s="132">
        <v>74</v>
      </c>
      <c r="F46" s="115">
        <v>3</v>
      </c>
      <c r="G46" s="116" t="s">
        <v>319</v>
      </c>
      <c r="H46" s="132">
        <v>58</v>
      </c>
      <c r="I46" s="115">
        <v>3</v>
      </c>
      <c r="J46" s="132">
        <v>88</v>
      </c>
      <c r="K46" s="115">
        <v>2</v>
      </c>
      <c r="L46" s="114">
        <f t="shared" si="23"/>
        <v>220</v>
      </c>
      <c r="M46" s="127">
        <f t="shared" si="1"/>
        <v>39</v>
      </c>
      <c r="N46" s="116" t="s">
        <v>320</v>
      </c>
      <c r="O46" s="132">
        <v>47.5</v>
      </c>
      <c r="P46" s="117">
        <v>2</v>
      </c>
      <c r="Q46" s="116" t="s">
        <v>321</v>
      </c>
      <c r="R46" s="132">
        <v>34</v>
      </c>
      <c r="S46" s="117">
        <v>4</v>
      </c>
      <c r="T46" s="132">
        <v>42</v>
      </c>
      <c r="U46" s="115">
        <v>1</v>
      </c>
      <c r="V46" s="130">
        <f t="shared" si="24"/>
        <v>343.5</v>
      </c>
      <c r="W46" s="118">
        <f t="shared" si="25"/>
        <v>43</v>
      </c>
      <c r="X46" s="4"/>
      <c r="Y46" s="13"/>
      <c r="Z46" s="13"/>
    </row>
    <row r="47" spans="1:27" s="5" customFormat="1" ht="24.9" customHeight="1" x14ac:dyDescent="0.3">
      <c r="A47" s="131">
        <v>1</v>
      </c>
      <c r="B47" s="131">
        <v>24</v>
      </c>
      <c r="C47" s="131" t="s">
        <v>124</v>
      </c>
      <c r="D47" s="116" t="s">
        <v>318</v>
      </c>
      <c r="E47" s="132">
        <v>73</v>
      </c>
      <c r="F47" s="115">
        <v>3</v>
      </c>
      <c r="G47" s="116" t="s">
        <v>319</v>
      </c>
      <c r="H47" s="132">
        <v>60</v>
      </c>
      <c r="I47" s="115">
        <v>3</v>
      </c>
      <c r="J47" s="132">
        <v>70</v>
      </c>
      <c r="K47" s="115">
        <v>3</v>
      </c>
      <c r="L47" s="114">
        <f t="shared" si="23"/>
        <v>203</v>
      </c>
      <c r="M47" s="127">
        <f t="shared" si="1"/>
        <v>58</v>
      </c>
      <c r="N47" s="116" t="s">
        <v>320</v>
      </c>
      <c r="O47" s="132">
        <v>48</v>
      </c>
      <c r="P47" s="117">
        <v>2</v>
      </c>
      <c r="Q47" s="116" t="s">
        <v>321</v>
      </c>
      <c r="R47" s="132">
        <v>43</v>
      </c>
      <c r="S47" s="117">
        <v>3</v>
      </c>
      <c r="T47" s="132">
        <v>48</v>
      </c>
      <c r="U47" s="115">
        <v>1</v>
      </c>
      <c r="V47" s="130">
        <f t="shared" si="24"/>
        <v>342</v>
      </c>
      <c r="W47" s="118">
        <f t="shared" si="25"/>
        <v>44</v>
      </c>
      <c r="X47" s="4"/>
      <c r="Y47" s="13"/>
      <c r="Z47" s="13"/>
    </row>
    <row r="48" spans="1:27" s="5" customFormat="1" ht="24.9" customHeight="1" x14ac:dyDescent="0.3">
      <c r="A48" s="131">
        <v>5</v>
      </c>
      <c r="B48" s="131">
        <v>18</v>
      </c>
      <c r="C48" s="131" t="s">
        <v>30</v>
      </c>
      <c r="D48" s="116" t="s">
        <v>318</v>
      </c>
      <c r="E48" s="132">
        <v>62</v>
      </c>
      <c r="F48" s="115">
        <v>4</v>
      </c>
      <c r="G48" s="116" t="s">
        <v>319</v>
      </c>
      <c r="H48" s="132">
        <v>65</v>
      </c>
      <c r="I48" s="115">
        <v>3</v>
      </c>
      <c r="J48" s="132">
        <v>79</v>
      </c>
      <c r="K48" s="115">
        <v>3</v>
      </c>
      <c r="L48" s="114">
        <f t="shared" si="23"/>
        <v>206</v>
      </c>
      <c r="M48" s="127">
        <f t="shared" si="1"/>
        <v>54</v>
      </c>
      <c r="N48" s="116" t="s">
        <v>320</v>
      </c>
      <c r="O48" s="132">
        <v>46.5</v>
      </c>
      <c r="P48" s="117">
        <v>3</v>
      </c>
      <c r="Q48" s="116" t="s">
        <v>321</v>
      </c>
      <c r="R48" s="132">
        <v>45.5</v>
      </c>
      <c r="S48" s="117">
        <v>2</v>
      </c>
      <c r="T48" s="132">
        <v>44</v>
      </c>
      <c r="U48" s="115">
        <v>1</v>
      </c>
      <c r="V48" s="130">
        <f t="shared" si="24"/>
        <v>342</v>
      </c>
      <c r="W48" s="118">
        <f t="shared" si="25"/>
        <v>44</v>
      </c>
      <c r="X48" s="4"/>
      <c r="Y48" s="13"/>
      <c r="Z48" s="13"/>
    </row>
    <row r="49" spans="1:26" s="5" customFormat="1" ht="24.9" customHeight="1" x14ac:dyDescent="0.3">
      <c r="A49" s="131">
        <v>1</v>
      </c>
      <c r="B49" s="131">
        <v>9</v>
      </c>
      <c r="C49" s="131" t="s">
        <v>125</v>
      </c>
      <c r="D49" s="116" t="s">
        <v>318</v>
      </c>
      <c r="E49" s="132">
        <v>88</v>
      </c>
      <c r="F49" s="115">
        <v>2</v>
      </c>
      <c r="G49" s="116" t="s">
        <v>319</v>
      </c>
      <c r="H49" s="132">
        <v>62</v>
      </c>
      <c r="I49" s="115">
        <v>3</v>
      </c>
      <c r="J49" s="132">
        <v>65</v>
      </c>
      <c r="K49" s="115">
        <v>4</v>
      </c>
      <c r="L49" s="114">
        <f t="shared" si="23"/>
        <v>215</v>
      </c>
      <c r="M49" s="127">
        <f t="shared" si="1"/>
        <v>45</v>
      </c>
      <c r="N49" s="116" t="s">
        <v>320</v>
      </c>
      <c r="O49" s="132">
        <v>40.5</v>
      </c>
      <c r="P49" s="117">
        <v>4</v>
      </c>
      <c r="Q49" s="116" t="s">
        <v>321</v>
      </c>
      <c r="R49" s="132">
        <v>43</v>
      </c>
      <c r="S49" s="117">
        <v>3</v>
      </c>
      <c r="T49" s="132">
        <v>43</v>
      </c>
      <c r="U49" s="115">
        <v>1</v>
      </c>
      <c r="V49" s="130">
        <f t="shared" si="24"/>
        <v>341.5</v>
      </c>
      <c r="W49" s="118">
        <f t="shared" si="25"/>
        <v>46</v>
      </c>
      <c r="Y49" s="13"/>
      <c r="Z49" s="13"/>
    </row>
    <row r="50" spans="1:26" s="5" customFormat="1" ht="24.9" customHeight="1" x14ac:dyDescent="0.3">
      <c r="A50" s="131">
        <v>9</v>
      </c>
      <c r="B50" s="131">
        <v>25</v>
      </c>
      <c r="C50" s="131" t="s">
        <v>126</v>
      </c>
      <c r="D50" s="116" t="s">
        <v>318</v>
      </c>
      <c r="E50" s="132">
        <v>88</v>
      </c>
      <c r="F50" s="115">
        <v>2</v>
      </c>
      <c r="G50" s="116" t="s">
        <v>319</v>
      </c>
      <c r="H50" s="132">
        <v>48</v>
      </c>
      <c r="I50" s="115">
        <v>4</v>
      </c>
      <c r="J50" s="132">
        <v>67</v>
      </c>
      <c r="K50" s="115">
        <v>4</v>
      </c>
      <c r="L50" s="114">
        <f t="shared" si="23"/>
        <v>203</v>
      </c>
      <c r="M50" s="127">
        <f t="shared" si="1"/>
        <v>58</v>
      </c>
      <c r="N50" s="116" t="s">
        <v>320</v>
      </c>
      <c r="O50" s="132">
        <v>48</v>
      </c>
      <c r="P50" s="117">
        <v>2</v>
      </c>
      <c r="Q50" s="116" t="s">
        <v>321</v>
      </c>
      <c r="R50" s="132">
        <v>43.5</v>
      </c>
      <c r="S50" s="117">
        <v>3</v>
      </c>
      <c r="T50" s="132">
        <v>47</v>
      </c>
      <c r="U50" s="115">
        <v>1</v>
      </c>
      <c r="V50" s="130">
        <f t="shared" si="24"/>
        <v>341.5</v>
      </c>
      <c r="W50" s="118">
        <f t="shared" si="25"/>
        <v>46</v>
      </c>
      <c r="Y50" s="13"/>
      <c r="Z50" s="13"/>
    </row>
    <row r="51" spans="1:26" s="5" customFormat="1" ht="24.9" customHeight="1" x14ac:dyDescent="0.3">
      <c r="A51" s="131">
        <v>3</v>
      </c>
      <c r="B51" s="131">
        <v>28</v>
      </c>
      <c r="C51" s="131" t="s">
        <v>127</v>
      </c>
      <c r="D51" s="116" t="s">
        <v>318</v>
      </c>
      <c r="E51" s="132">
        <v>74</v>
      </c>
      <c r="F51" s="115">
        <v>3</v>
      </c>
      <c r="G51" s="116" t="s">
        <v>319</v>
      </c>
      <c r="H51" s="132">
        <v>48</v>
      </c>
      <c r="I51" s="115">
        <v>4</v>
      </c>
      <c r="J51" s="132">
        <v>77</v>
      </c>
      <c r="K51" s="115">
        <v>3</v>
      </c>
      <c r="L51" s="114">
        <f t="shared" si="23"/>
        <v>199</v>
      </c>
      <c r="M51" s="127">
        <f t="shared" si="1"/>
        <v>63</v>
      </c>
      <c r="N51" s="116" t="s">
        <v>320</v>
      </c>
      <c r="O51" s="132">
        <v>45</v>
      </c>
      <c r="P51" s="117">
        <v>3</v>
      </c>
      <c r="Q51" s="116" t="s">
        <v>321</v>
      </c>
      <c r="R51" s="132">
        <v>48.5</v>
      </c>
      <c r="S51" s="117">
        <v>1</v>
      </c>
      <c r="T51" s="132">
        <v>48</v>
      </c>
      <c r="U51" s="115">
        <v>1</v>
      </c>
      <c r="V51" s="130">
        <f t="shared" si="24"/>
        <v>340.5</v>
      </c>
      <c r="W51" s="118">
        <f t="shared" si="25"/>
        <v>48</v>
      </c>
      <c r="Y51" s="13"/>
      <c r="Z51" s="13"/>
    </row>
    <row r="52" spans="1:26" s="5" customFormat="1" ht="24.9" customHeight="1" x14ac:dyDescent="0.3">
      <c r="A52" s="131">
        <v>8</v>
      </c>
      <c r="B52" s="131">
        <v>11</v>
      </c>
      <c r="C52" s="131" t="s">
        <v>15</v>
      </c>
      <c r="D52" s="116" t="s">
        <v>318</v>
      </c>
      <c r="E52" s="132">
        <v>77</v>
      </c>
      <c r="F52" s="115">
        <v>3</v>
      </c>
      <c r="G52" s="116" t="s">
        <v>319</v>
      </c>
      <c r="H52" s="132">
        <v>58</v>
      </c>
      <c r="I52" s="115">
        <v>3</v>
      </c>
      <c r="J52" s="132">
        <v>80</v>
      </c>
      <c r="K52" s="115">
        <v>2</v>
      </c>
      <c r="L52" s="114">
        <f t="shared" si="23"/>
        <v>215</v>
      </c>
      <c r="M52" s="127">
        <f t="shared" si="1"/>
        <v>45</v>
      </c>
      <c r="N52" s="116" t="s">
        <v>320</v>
      </c>
      <c r="O52" s="132">
        <v>47.5</v>
      </c>
      <c r="P52" s="117">
        <v>2</v>
      </c>
      <c r="Q52" s="116" t="s">
        <v>321</v>
      </c>
      <c r="R52" s="132">
        <v>39</v>
      </c>
      <c r="S52" s="117">
        <v>3</v>
      </c>
      <c r="T52" s="132">
        <v>37</v>
      </c>
      <c r="U52" s="115">
        <v>2</v>
      </c>
      <c r="V52" s="130">
        <f t="shared" si="24"/>
        <v>338.5</v>
      </c>
      <c r="W52" s="118">
        <f t="shared" si="25"/>
        <v>49</v>
      </c>
      <c r="Y52" s="13"/>
      <c r="Z52" s="13"/>
    </row>
    <row r="53" spans="1:26" s="5" customFormat="1" ht="24.9" customHeight="1" x14ac:dyDescent="0.3">
      <c r="A53" s="131">
        <v>2</v>
      </c>
      <c r="B53" s="131">
        <v>5</v>
      </c>
      <c r="C53" s="131" t="s">
        <v>128</v>
      </c>
      <c r="D53" s="116" t="s">
        <v>318</v>
      </c>
      <c r="E53" s="132">
        <v>82</v>
      </c>
      <c r="F53" s="115">
        <v>3</v>
      </c>
      <c r="G53" s="116" t="s">
        <v>319</v>
      </c>
      <c r="H53" s="132">
        <v>39</v>
      </c>
      <c r="I53" s="115">
        <v>5</v>
      </c>
      <c r="J53" s="132">
        <v>94</v>
      </c>
      <c r="K53" s="115">
        <v>1</v>
      </c>
      <c r="L53" s="114">
        <f t="shared" si="23"/>
        <v>215</v>
      </c>
      <c r="M53" s="127">
        <f t="shared" si="1"/>
        <v>45</v>
      </c>
      <c r="N53" s="116" t="s">
        <v>320</v>
      </c>
      <c r="O53" s="132">
        <v>41.5</v>
      </c>
      <c r="P53" s="117">
        <v>4</v>
      </c>
      <c r="Q53" s="116" t="s">
        <v>321</v>
      </c>
      <c r="R53" s="132">
        <v>35</v>
      </c>
      <c r="S53" s="117">
        <v>4</v>
      </c>
      <c r="T53" s="132">
        <v>46</v>
      </c>
      <c r="U53" s="115">
        <v>1</v>
      </c>
      <c r="V53" s="130">
        <f t="shared" si="24"/>
        <v>337.5</v>
      </c>
      <c r="W53" s="118">
        <f t="shared" si="25"/>
        <v>50</v>
      </c>
      <c r="Y53" s="45"/>
      <c r="Z53" s="45"/>
    </row>
    <row r="54" spans="1:26" s="5" customFormat="1" ht="24.9" customHeight="1" x14ac:dyDescent="0.3">
      <c r="A54" s="131">
        <v>10</v>
      </c>
      <c r="B54" s="131">
        <v>8</v>
      </c>
      <c r="C54" s="131" t="s">
        <v>129</v>
      </c>
      <c r="D54" s="116" t="s">
        <v>318</v>
      </c>
      <c r="E54" s="132">
        <v>84</v>
      </c>
      <c r="F54" s="115">
        <v>2</v>
      </c>
      <c r="G54" s="116" t="s">
        <v>319</v>
      </c>
      <c r="H54" s="132">
        <v>56</v>
      </c>
      <c r="I54" s="115">
        <v>3</v>
      </c>
      <c r="J54" s="132">
        <v>80</v>
      </c>
      <c r="K54" s="115">
        <v>2</v>
      </c>
      <c r="L54" s="114">
        <f t="shared" si="23"/>
        <v>220</v>
      </c>
      <c r="M54" s="127">
        <f t="shared" si="1"/>
        <v>39</v>
      </c>
      <c r="N54" s="116" t="s">
        <v>320</v>
      </c>
      <c r="O54" s="132">
        <v>46</v>
      </c>
      <c r="P54" s="117">
        <v>3</v>
      </c>
      <c r="Q54" s="116" t="s">
        <v>321</v>
      </c>
      <c r="R54" s="132">
        <v>40.5</v>
      </c>
      <c r="S54" s="117">
        <v>3</v>
      </c>
      <c r="T54" s="132">
        <v>31</v>
      </c>
      <c r="U54" s="115">
        <v>3</v>
      </c>
      <c r="V54" s="130">
        <f t="shared" si="24"/>
        <v>337.5</v>
      </c>
      <c r="W54" s="118">
        <f t="shared" si="25"/>
        <v>50</v>
      </c>
    </row>
    <row r="55" spans="1:26" s="5" customFormat="1" ht="24.9" customHeight="1" x14ac:dyDescent="0.3">
      <c r="A55" s="131">
        <v>10</v>
      </c>
      <c r="B55" s="131">
        <v>19</v>
      </c>
      <c r="C55" s="131" t="s">
        <v>130</v>
      </c>
      <c r="D55" s="116" t="s">
        <v>318</v>
      </c>
      <c r="E55" s="132">
        <v>77</v>
      </c>
      <c r="F55" s="115">
        <v>3</v>
      </c>
      <c r="G55" s="116" t="s">
        <v>319</v>
      </c>
      <c r="H55" s="132">
        <v>54</v>
      </c>
      <c r="I55" s="115">
        <v>4</v>
      </c>
      <c r="J55" s="132">
        <v>100</v>
      </c>
      <c r="K55" s="115">
        <v>1</v>
      </c>
      <c r="L55" s="114">
        <f t="shared" si="23"/>
        <v>231</v>
      </c>
      <c r="M55" s="127">
        <f t="shared" si="1"/>
        <v>25</v>
      </c>
      <c r="N55" s="116" t="s">
        <v>320</v>
      </c>
      <c r="O55" s="132">
        <v>45.5</v>
      </c>
      <c r="P55" s="117">
        <v>3</v>
      </c>
      <c r="Q55" s="116" t="s">
        <v>321</v>
      </c>
      <c r="R55" s="132">
        <v>29</v>
      </c>
      <c r="S55" s="117">
        <v>4</v>
      </c>
      <c r="T55" s="132">
        <v>32</v>
      </c>
      <c r="U55" s="115">
        <v>3</v>
      </c>
      <c r="V55" s="130">
        <f t="shared" si="24"/>
        <v>337.5</v>
      </c>
      <c r="W55" s="118">
        <f t="shared" si="25"/>
        <v>50</v>
      </c>
    </row>
    <row r="56" spans="1:26" s="5" customFormat="1" ht="24.9" customHeight="1" x14ac:dyDescent="0.3">
      <c r="A56" s="131">
        <v>1</v>
      </c>
      <c r="B56" s="131">
        <v>26</v>
      </c>
      <c r="C56" s="131" t="s">
        <v>131</v>
      </c>
      <c r="D56" s="116" t="s">
        <v>318</v>
      </c>
      <c r="E56" s="132">
        <v>59</v>
      </c>
      <c r="F56" s="115">
        <v>5</v>
      </c>
      <c r="G56" s="116" t="s">
        <v>319</v>
      </c>
      <c r="H56" s="132">
        <v>76</v>
      </c>
      <c r="I56" s="115">
        <v>2</v>
      </c>
      <c r="J56" s="132">
        <v>78</v>
      </c>
      <c r="K56" s="115">
        <v>3</v>
      </c>
      <c r="L56" s="114">
        <f t="shared" si="23"/>
        <v>213</v>
      </c>
      <c r="M56" s="127">
        <f t="shared" si="1"/>
        <v>50</v>
      </c>
      <c r="N56" s="116" t="s">
        <v>320</v>
      </c>
      <c r="O56" s="132">
        <v>44</v>
      </c>
      <c r="P56" s="117">
        <v>3</v>
      </c>
      <c r="Q56" s="116" t="s">
        <v>321</v>
      </c>
      <c r="R56" s="132">
        <v>33</v>
      </c>
      <c r="S56" s="117">
        <v>4</v>
      </c>
      <c r="T56" s="132">
        <v>47</v>
      </c>
      <c r="U56" s="115">
        <v>1</v>
      </c>
      <c r="V56" s="130">
        <f t="shared" si="24"/>
        <v>337</v>
      </c>
      <c r="W56" s="118">
        <f t="shared" si="25"/>
        <v>53</v>
      </c>
    </row>
    <row r="57" spans="1:26" s="5" customFormat="1" ht="24.9" customHeight="1" x14ac:dyDescent="0.3">
      <c r="A57" s="131">
        <v>4</v>
      </c>
      <c r="B57" s="131">
        <v>15</v>
      </c>
      <c r="C57" s="131" t="s">
        <v>132</v>
      </c>
      <c r="D57" s="116" t="s">
        <v>318</v>
      </c>
      <c r="E57" s="132">
        <v>60</v>
      </c>
      <c r="F57" s="115">
        <v>5</v>
      </c>
      <c r="G57" s="116" t="s">
        <v>319</v>
      </c>
      <c r="H57" s="132">
        <v>71</v>
      </c>
      <c r="I57" s="115">
        <v>2</v>
      </c>
      <c r="J57" s="132">
        <v>92</v>
      </c>
      <c r="K57" s="115">
        <v>1</v>
      </c>
      <c r="L57" s="114">
        <f t="shared" si="23"/>
        <v>223</v>
      </c>
      <c r="M57" s="127">
        <f t="shared" si="1"/>
        <v>33</v>
      </c>
      <c r="N57" s="116" t="s">
        <v>320</v>
      </c>
      <c r="O57" s="132">
        <v>36.5</v>
      </c>
      <c r="P57" s="117">
        <v>5</v>
      </c>
      <c r="Q57" s="116" t="s">
        <v>321</v>
      </c>
      <c r="R57" s="132">
        <v>29.5</v>
      </c>
      <c r="S57" s="117">
        <v>4</v>
      </c>
      <c r="T57" s="132">
        <v>48</v>
      </c>
      <c r="U57" s="115">
        <v>1</v>
      </c>
      <c r="V57" s="130">
        <f t="shared" si="24"/>
        <v>337</v>
      </c>
      <c r="W57" s="118">
        <f t="shared" si="25"/>
        <v>53</v>
      </c>
    </row>
    <row r="58" spans="1:26" s="5" customFormat="1" ht="24.9" customHeight="1" x14ac:dyDescent="0.3">
      <c r="A58" s="131">
        <v>10</v>
      </c>
      <c r="B58" s="131">
        <v>20</v>
      </c>
      <c r="C58" s="131" t="s">
        <v>133</v>
      </c>
      <c r="D58" s="116" t="s">
        <v>318</v>
      </c>
      <c r="E58" s="132">
        <v>72</v>
      </c>
      <c r="F58" s="115">
        <v>4</v>
      </c>
      <c r="G58" s="116" t="s">
        <v>319</v>
      </c>
      <c r="H58" s="132">
        <v>45</v>
      </c>
      <c r="I58" s="115">
        <v>4</v>
      </c>
      <c r="J58" s="132">
        <v>89</v>
      </c>
      <c r="K58" s="115">
        <v>2</v>
      </c>
      <c r="L58" s="114">
        <f t="shared" si="23"/>
        <v>206</v>
      </c>
      <c r="M58" s="127">
        <f t="shared" si="1"/>
        <v>54</v>
      </c>
      <c r="N58" s="116" t="s">
        <v>320</v>
      </c>
      <c r="O58" s="132">
        <v>43</v>
      </c>
      <c r="P58" s="117">
        <v>3</v>
      </c>
      <c r="Q58" s="116" t="s">
        <v>321</v>
      </c>
      <c r="R58" s="132">
        <v>40.5</v>
      </c>
      <c r="S58" s="117">
        <v>3</v>
      </c>
      <c r="T58" s="132">
        <v>44</v>
      </c>
      <c r="U58" s="115">
        <v>1</v>
      </c>
      <c r="V58" s="130">
        <f t="shared" si="24"/>
        <v>333.5</v>
      </c>
      <c r="W58" s="118">
        <f t="shared" si="25"/>
        <v>55</v>
      </c>
    </row>
    <row r="59" spans="1:26" s="5" customFormat="1" ht="24.9" customHeight="1" x14ac:dyDescent="0.3">
      <c r="A59" s="131">
        <v>5</v>
      </c>
      <c r="B59" s="131">
        <v>17</v>
      </c>
      <c r="C59" s="131" t="s">
        <v>134</v>
      </c>
      <c r="D59" s="116" t="s">
        <v>318</v>
      </c>
      <c r="E59" s="132">
        <v>88</v>
      </c>
      <c r="F59" s="115">
        <v>2</v>
      </c>
      <c r="G59" s="116" t="s">
        <v>319</v>
      </c>
      <c r="H59" s="132">
        <v>37</v>
      </c>
      <c r="I59" s="115">
        <v>5</v>
      </c>
      <c r="J59" s="132">
        <v>70</v>
      </c>
      <c r="K59" s="115">
        <v>3</v>
      </c>
      <c r="L59" s="114">
        <f t="shared" si="23"/>
        <v>195</v>
      </c>
      <c r="M59" s="127">
        <f t="shared" si="1"/>
        <v>67</v>
      </c>
      <c r="N59" s="116" t="s">
        <v>320</v>
      </c>
      <c r="O59" s="132">
        <v>48</v>
      </c>
      <c r="P59" s="117">
        <v>2</v>
      </c>
      <c r="Q59" s="116" t="s">
        <v>321</v>
      </c>
      <c r="R59" s="132">
        <v>39</v>
      </c>
      <c r="S59" s="117">
        <v>3</v>
      </c>
      <c r="T59" s="132">
        <v>50</v>
      </c>
      <c r="U59" s="115">
        <v>1</v>
      </c>
      <c r="V59" s="130">
        <f t="shared" si="24"/>
        <v>332</v>
      </c>
      <c r="W59" s="118">
        <f t="shared" si="25"/>
        <v>56</v>
      </c>
    </row>
    <row r="60" spans="1:26" s="5" customFormat="1" ht="24.9" customHeight="1" x14ac:dyDescent="0.3">
      <c r="A60" s="131">
        <v>3</v>
      </c>
      <c r="B60" s="131">
        <v>4</v>
      </c>
      <c r="C60" s="131" t="s">
        <v>135</v>
      </c>
      <c r="D60" s="116" t="s">
        <v>318</v>
      </c>
      <c r="E60" s="132">
        <v>58</v>
      </c>
      <c r="F60" s="115">
        <v>5</v>
      </c>
      <c r="G60" s="116" t="s">
        <v>319</v>
      </c>
      <c r="H60" s="132">
        <v>70</v>
      </c>
      <c r="I60" s="115">
        <v>2</v>
      </c>
      <c r="J60" s="132">
        <v>83</v>
      </c>
      <c r="K60" s="115">
        <v>2</v>
      </c>
      <c r="L60" s="114">
        <f t="shared" si="23"/>
        <v>211</v>
      </c>
      <c r="M60" s="127">
        <f t="shared" si="1"/>
        <v>51</v>
      </c>
      <c r="N60" s="116" t="s">
        <v>320</v>
      </c>
      <c r="O60" s="132">
        <v>47.5</v>
      </c>
      <c r="P60" s="117">
        <v>2</v>
      </c>
      <c r="Q60" s="116" t="s">
        <v>321</v>
      </c>
      <c r="R60" s="132">
        <v>32</v>
      </c>
      <c r="S60" s="117">
        <v>4</v>
      </c>
      <c r="T60" s="132">
        <v>38</v>
      </c>
      <c r="U60" s="115">
        <v>2</v>
      </c>
      <c r="V60" s="130">
        <f t="shared" si="24"/>
        <v>328.5</v>
      </c>
      <c r="W60" s="118">
        <f t="shared" si="25"/>
        <v>57</v>
      </c>
    </row>
    <row r="61" spans="1:26" s="5" customFormat="1" ht="24.9" customHeight="1" x14ac:dyDescent="0.3">
      <c r="A61" s="131">
        <v>6</v>
      </c>
      <c r="B61" s="131">
        <v>15</v>
      </c>
      <c r="C61" s="131" t="s">
        <v>136</v>
      </c>
      <c r="D61" s="116" t="s">
        <v>318</v>
      </c>
      <c r="E61" s="132">
        <v>68</v>
      </c>
      <c r="F61" s="115">
        <v>4</v>
      </c>
      <c r="G61" s="116" t="s">
        <v>319</v>
      </c>
      <c r="H61" s="132">
        <v>55</v>
      </c>
      <c r="I61" s="115">
        <v>3</v>
      </c>
      <c r="J61" s="132">
        <v>76</v>
      </c>
      <c r="K61" s="115">
        <v>3</v>
      </c>
      <c r="L61" s="114">
        <f t="shared" si="23"/>
        <v>199</v>
      </c>
      <c r="M61" s="127">
        <f t="shared" si="1"/>
        <v>63</v>
      </c>
      <c r="N61" s="116" t="s">
        <v>320</v>
      </c>
      <c r="O61" s="132">
        <v>50</v>
      </c>
      <c r="P61" s="117">
        <v>1</v>
      </c>
      <c r="Q61" s="116" t="s">
        <v>321</v>
      </c>
      <c r="R61" s="132">
        <v>42.5</v>
      </c>
      <c r="S61" s="117">
        <v>3</v>
      </c>
      <c r="T61" s="132">
        <v>37</v>
      </c>
      <c r="U61" s="115">
        <v>2</v>
      </c>
      <c r="V61" s="130">
        <f t="shared" si="24"/>
        <v>328.5</v>
      </c>
      <c r="W61" s="118">
        <f t="shared" si="25"/>
        <v>57</v>
      </c>
      <c r="Y61" s="45"/>
      <c r="Z61" s="45"/>
    </row>
    <row r="62" spans="1:26" s="5" customFormat="1" ht="24.9" customHeight="1" x14ac:dyDescent="0.3">
      <c r="A62" s="131">
        <v>9</v>
      </c>
      <c r="B62" s="131">
        <v>14</v>
      </c>
      <c r="C62" s="131" t="s">
        <v>137</v>
      </c>
      <c r="D62" s="116" t="s">
        <v>318</v>
      </c>
      <c r="E62" s="132">
        <v>61</v>
      </c>
      <c r="F62" s="115">
        <v>4</v>
      </c>
      <c r="G62" s="116" t="s">
        <v>319</v>
      </c>
      <c r="H62" s="132">
        <v>51</v>
      </c>
      <c r="I62" s="115">
        <v>4</v>
      </c>
      <c r="J62" s="132">
        <v>81</v>
      </c>
      <c r="K62" s="115">
        <v>2</v>
      </c>
      <c r="L62" s="114">
        <f t="shared" si="23"/>
        <v>193</v>
      </c>
      <c r="M62" s="127">
        <f t="shared" si="1"/>
        <v>70</v>
      </c>
      <c r="N62" s="116" t="s">
        <v>320</v>
      </c>
      <c r="O62" s="132">
        <v>47.5</v>
      </c>
      <c r="P62" s="117">
        <v>2</v>
      </c>
      <c r="Q62" s="116" t="s">
        <v>321</v>
      </c>
      <c r="R62" s="132">
        <v>46</v>
      </c>
      <c r="S62" s="117">
        <v>2</v>
      </c>
      <c r="T62" s="132">
        <v>42</v>
      </c>
      <c r="U62" s="115">
        <v>1</v>
      </c>
      <c r="V62" s="130">
        <f t="shared" si="24"/>
        <v>328.5</v>
      </c>
      <c r="W62" s="118">
        <f t="shared" si="25"/>
        <v>57</v>
      </c>
      <c r="Y62" s="45"/>
      <c r="Z62" s="45"/>
    </row>
    <row r="63" spans="1:26" s="5" customFormat="1" ht="24.9" customHeight="1" x14ac:dyDescent="0.3">
      <c r="A63" s="131">
        <v>8</v>
      </c>
      <c r="B63" s="131">
        <v>23</v>
      </c>
      <c r="C63" s="131" t="s">
        <v>138</v>
      </c>
      <c r="D63" s="116" t="s">
        <v>318</v>
      </c>
      <c r="E63" s="132">
        <v>67</v>
      </c>
      <c r="F63" s="115">
        <v>4</v>
      </c>
      <c r="G63" s="116" t="s">
        <v>319</v>
      </c>
      <c r="H63" s="132">
        <v>38</v>
      </c>
      <c r="I63" s="115">
        <v>5</v>
      </c>
      <c r="J63" s="132">
        <v>91</v>
      </c>
      <c r="K63" s="115">
        <v>1</v>
      </c>
      <c r="L63" s="114">
        <f t="shared" si="23"/>
        <v>196</v>
      </c>
      <c r="M63" s="127">
        <f t="shared" si="1"/>
        <v>66</v>
      </c>
      <c r="N63" s="116" t="s">
        <v>320</v>
      </c>
      <c r="O63" s="132">
        <v>43.5</v>
      </c>
      <c r="P63" s="117">
        <v>3</v>
      </c>
      <c r="Q63" s="116" t="s">
        <v>321</v>
      </c>
      <c r="R63" s="132">
        <v>36</v>
      </c>
      <c r="S63" s="117">
        <v>4</v>
      </c>
      <c r="T63" s="132">
        <v>50</v>
      </c>
      <c r="U63" s="115">
        <v>1</v>
      </c>
      <c r="V63" s="130">
        <f t="shared" si="24"/>
        <v>325.5</v>
      </c>
      <c r="W63" s="118">
        <f t="shared" si="25"/>
        <v>60</v>
      </c>
    </row>
    <row r="64" spans="1:26" s="5" customFormat="1" ht="24.9" customHeight="1" x14ac:dyDescent="0.3">
      <c r="A64" s="131">
        <v>2</v>
      </c>
      <c r="B64" s="131">
        <v>2</v>
      </c>
      <c r="C64" s="131" t="s">
        <v>139</v>
      </c>
      <c r="D64" s="116" t="s">
        <v>318</v>
      </c>
      <c r="E64" s="132">
        <v>62</v>
      </c>
      <c r="F64" s="115">
        <v>4</v>
      </c>
      <c r="G64" s="116" t="s">
        <v>319</v>
      </c>
      <c r="H64" s="132">
        <v>66</v>
      </c>
      <c r="I64" s="115">
        <v>2</v>
      </c>
      <c r="J64" s="132">
        <v>55</v>
      </c>
      <c r="K64" s="115">
        <v>5</v>
      </c>
      <c r="L64" s="114">
        <f t="shared" si="23"/>
        <v>183</v>
      </c>
      <c r="M64" s="127">
        <f t="shared" si="1"/>
        <v>79</v>
      </c>
      <c r="N64" s="116" t="s">
        <v>320</v>
      </c>
      <c r="O64" s="132">
        <v>50</v>
      </c>
      <c r="P64" s="117">
        <v>1</v>
      </c>
      <c r="Q64" s="116" t="s">
        <v>321</v>
      </c>
      <c r="R64" s="132">
        <v>50</v>
      </c>
      <c r="S64" s="117">
        <v>1</v>
      </c>
      <c r="T64" s="132">
        <v>42</v>
      </c>
      <c r="U64" s="115">
        <v>1</v>
      </c>
      <c r="V64" s="130">
        <f t="shared" si="24"/>
        <v>325</v>
      </c>
      <c r="W64" s="118">
        <f t="shared" si="25"/>
        <v>61</v>
      </c>
    </row>
    <row r="65" spans="1:28" s="5" customFormat="1" ht="24.9" customHeight="1" x14ac:dyDescent="0.3">
      <c r="A65" s="131">
        <v>9</v>
      </c>
      <c r="B65" s="131">
        <v>3</v>
      </c>
      <c r="C65" s="131" t="s">
        <v>85</v>
      </c>
      <c r="D65" s="116" t="s">
        <v>318</v>
      </c>
      <c r="E65" s="132">
        <v>73</v>
      </c>
      <c r="F65" s="115">
        <v>3</v>
      </c>
      <c r="G65" s="116" t="s">
        <v>319</v>
      </c>
      <c r="H65" s="132">
        <v>42</v>
      </c>
      <c r="I65" s="115">
        <v>5</v>
      </c>
      <c r="J65" s="132">
        <v>85</v>
      </c>
      <c r="K65" s="115">
        <v>2</v>
      </c>
      <c r="L65" s="114">
        <f t="shared" si="23"/>
        <v>200</v>
      </c>
      <c r="M65" s="127">
        <f t="shared" si="1"/>
        <v>61</v>
      </c>
      <c r="N65" s="116" t="s">
        <v>320</v>
      </c>
      <c r="O65" s="132">
        <v>45.5</v>
      </c>
      <c r="P65" s="117">
        <v>3</v>
      </c>
      <c r="Q65" s="116" t="s">
        <v>321</v>
      </c>
      <c r="R65" s="132">
        <v>35</v>
      </c>
      <c r="S65" s="117">
        <v>4</v>
      </c>
      <c r="T65" s="132">
        <v>42</v>
      </c>
      <c r="U65" s="115">
        <v>1</v>
      </c>
      <c r="V65" s="130">
        <f t="shared" si="24"/>
        <v>322.5</v>
      </c>
      <c r="W65" s="118">
        <f t="shared" si="25"/>
        <v>62</v>
      </c>
      <c r="Y65" s="45"/>
      <c r="Z65" s="45"/>
    </row>
    <row r="66" spans="1:28" s="5" customFormat="1" ht="24.9" customHeight="1" x14ac:dyDescent="0.3">
      <c r="A66" s="131">
        <v>1</v>
      </c>
      <c r="B66" s="131">
        <v>21</v>
      </c>
      <c r="C66" s="131" t="s">
        <v>140</v>
      </c>
      <c r="D66" s="116" t="s">
        <v>318</v>
      </c>
      <c r="E66" s="132">
        <v>71</v>
      </c>
      <c r="F66" s="115">
        <v>4</v>
      </c>
      <c r="G66" s="116" t="s">
        <v>319</v>
      </c>
      <c r="H66" s="132">
        <v>52</v>
      </c>
      <c r="I66" s="115">
        <v>4</v>
      </c>
      <c r="J66" s="132">
        <v>72</v>
      </c>
      <c r="K66" s="115">
        <v>3</v>
      </c>
      <c r="L66" s="114">
        <f t="shared" si="23"/>
        <v>195</v>
      </c>
      <c r="M66" s="127">
        <f t="shared" si="1"/>
        <v>67</v>
      </c>
      <c r="N66" s="116" t="s">
        <v>320</v>
      </c>
      <c r="O66" s="132">
        <v>43</v>
      </c>
      <c r="P66" s="117">
        <v>3</v>
      </c>
      <c r="Q66" s="116" t="s">
        <v>321</v>
      </c>
      <c r="R66" s="132">
        <v>42</v>
      </c>
      <c r="S66" s="117">
        <v>3</v>
      </c>
      <c r="T66" s="132">
        <v>42</v>
      </c>
      <c r="U66" s="115">
        <v>1</v>
      </c>
      <c r="V66" s="130">
        <f t="shared" si="24"/>
        <v>322</v>
      </c>
      <c r="W66" s="118">
        <f t="shared" si="25"/>
        <v>63</v>
      </c>
    </row>
    <row r="67" spans="1:28" s="5" customFormat="1" ht="24.9" customHeight="1" x14ac:dyDescent="0.3">
      <c r="A67" s="131">
        <v>8</v>
      </c>
      <c r="B67" s="131">
        <v>15</v>
      </c>
      <c r="C67" s="131" t="s">
        <v>141</v>
      </c>
      <c r="D67" s="116" t="s">
        <v>318</v>
      </c>
      <c r="E67" s="132">
        <v>72</v>
      </c>
      <c r="F67" s="115">
        <v>4</v>
      </c>
      <c r="G67" s="116" t="s">
        <v>319</v>
      </c>
      <c r="H67" s="132">
        <v>60</v>
      </c>
      <c r="I67" s="115">
        <v>3</v>
      </c>
      <c r="J67" s="132">
        <v>67</v>
      </c>
      <c r="K67" s="115">
        <v>4</v>
      </c>
      <c r="L67" s="114">
        <f t="shared" si="23"/>
        <v>199</v>
      </c>
      <c r="M67" s="127">
        <f t="shared" si="1"/>
        <v>63</v>
      </c>
      <c r="N67" s="116" t="s">
        <v>320</v>
      </c>
      <c r="O67" s="132">
        <v>50</v>
      </c>
      <c r="P67" s="117">
        <v>1</v>
      </c>
      <c r="Q67" s="116" t="s">
        <v>321</v>
      </c>
      <c r="R67" s="132">
        <v>34.5</v>
      </c>
      <c r="S67" s="117">
        <v>4</v>
      </c>
      <c r="T67" s="132">
        <v>37</v>
      </c>
      <c r="U67" s="115">
        <v>2</v>
      </c>
      <c r="V67" s="130">
        <f t="shared" si="24"/>
        <v>320.5</v>
      </c>
      <c r="W67" s="118">
        <f t="shared" si="25"/>
        <v>64</v>
      </c>
    </row>
    <row r="68" spans="1:28" s="5" customFormat="1" ht="24.9" customHeight="1" x14ac:dyDescent="0.3">
      <c r="A68" s="131">
        <v>2</v>
      </c>
      <c r="B68" s="131">
        <v>10</v>
      </c>
      <c r="C68" s="131" t="s">
        <v>142</v>
      </c>
      <c r="D68" s="116" t="s">
        <v>318</v>
      </c>
      <c r="E68" s="132">
        <v>77</v>
      </c>
      <c r="F68" s="115">
        <v>3</v>
      </c>
      <c r="G68" s="116" t="s">
        <v>319</v>
      </c>
      <c r="H68" s="132">
        <v>69</v>
      </c>
      <c r="I68" s="115">
        <v>2</v>
      </c>
      <c r="J68" s="132">
        <v>65</v>
      </c>
      <c r="K68" s="115">
        <v>4</v>
      </c>
      <c r="L68" s="114">
        <f t="shared" si="23"/>
        <v>211</v>
      </c>
      <c r="M68" s="127">
        <f t="shared" ref="M68:M131" si="40">RANK(L68,$L$4:$L$491)</f>
        <v>51</v>
      </c>
      <c r="N68" s="116" t="s">
        <v>320</v>
      </c>
      <c r="O68" s="132">
        <v>45.5</v>
      </c>
      <c r="P68" s="117">
        <v>3</v>
      </c>
      <c r="Q68" s="116" t="s">
        <v>321</v>
      </c>
      <c r="R68" s="132">
        <v>34</v>
      </c>
      <c r="S68" s="117">
        <v>4</v>
      </c>
      <c r="T68" s="132">
        <v>29</v>
      </c>
      <c r="U68" s="115">
        <v>4</v>
      </c>
      <c r="V68" s="130">
        <f t="shared" si="24"/>
        <v>319.5</v>
      </c>
      <c r="W68" s="118">
        <f t="shared" si="25"/>
        <v>65</v>
      </c>
    </row>
    <row r="69" spans="1:28" s="5" customFormat="1" ht="24.9" customHeight="1" x14ac:dyDescent="0.3">
      <c r="A69" s="131">
        <v>2</v>
      </c>
      <c r="B69" s="131">
        <v>19</v>
      </c>
      <c r="C69" s="131" t="s">
        <v>143</v>
      </c>
      <c r="D69" s="116" t="s">
        <v>318</v>
      </c>
      <c r="E69" s="132">
        <v>56</v>
      </c>
      <c r="F69" s="115">
        <v>5</v>
      </c>
      <c r="G69" s="116" t="s">
        <v>319</v>
      </c>
      <c r="H69" s="132">
        <v>55</v>
      </c>
      <c r="I69" s="115">
        <v>3</v>
      </c>
      <c r="J69" s="132">
        <v>67</v>
      </c>
      <c r="K69" s="115">
        <v>4</v>
      </c>
      <c r="L69" s="114">
        <f t="shared" ref="L69:L132" si="41">SUM(E69,H69,J69)</f>
        <v>178</v>
      </c>
      <c r="M69" s="127">
        <f t="shared" si="40"/>
        <v>85</v>
      </c>
      <c r="N69" s="116" t="s">
        <v>320</v>
      </c>
      <c r="O69" s="132">
        <v>46</v>
      </c>
      <c r="P69" s="117">
        <v>3</v>
      </c>
      <c r="Q69" s="116" t="s">
        <v>321</v>
      </c>
      <c r="R69" s="132">
        <v>44.5</v>
      </c>
      <c r="S69" s="117">
        <v>3</v>
      </c>
      <c r="T69" s="132">
        <v>48</v>
      </c>
      <c r="U69" s="115">
        <v>1</v>
      </c>
      <c r="V69" s="130">
        <f t="shared" ref="V69:V132" si="42">SUM(L69,T69,R69,O69)</f>
        <v>316.5</v>
      </c>
      <c r="W69" s="118">
        <f t="shared" ref="W69:W132" si="43">RANK(V69,$V$4:$V$491)</f>
        <v>66</v>
      </c>
    </row>
    <row r="70" spans="1:28" s="5" customFormat="1" ht="24.9" customHeight="1" x14ac:dyDescent="0.3">
      <c r="A70" s="131">
        <v>8</v>
      </c>
      <c r="B70" s="131">
        <v>13</v>
      </c>
      <c r="C70" s="131" t="s">
        <v>144</v>
      </c>
      <c r="D70" s="116" t="s">
        <v>318</v>
      </c>
      <c r="E70" s="132">
        <v>64</v>
      </c>
      <c r="F70" s="115">
        <v>4</v>
      </c>
      <c r="G70" s="116" t="s">
        <v>319</v>
      </c>
      <c r="H70" s="132">
        <v>52</v>
      </c>
      <c r="I70" s="115">
        <v>4</v>
      </c>
      <c r="J70" s="132">
        <v>79</v>
      </c>
      <c r="K70" s="115">
        <v>3</v>
      </c>
      <c r="L70" s="114">
        <f t="shared" si="41"/>
        <v>195</v>
      </c>
      <c r="M70" s="127">
        <f t="shared" si="40"/>
        <v>67</v>
      </c>
      <c r="N70" s="116" t="s">
        <v>320</v>
      </c>
      <c r="O70" s="132">
        <v>46</v>
      </c>
      <c r="P70" s="117">
        <v>3</v>
      </c>
      <c r="Q70" s="116" t="s">
        <v>321</v>
      </c>
      <c r="R70" s="132">
        <v>33</v>
      </c>
      <c r="S70" s="117">
        <v>4</v>
      </c>
      <c r="T70" s="132">
        <v>41</v>
      </c>
      <c r="U70" s="115">
        <v>1</v>
      </c>
      <c r="V70" s="130">
        <f t="shared" si="42"/>
        <v>315</v>
      </c>
      <c r="W70" s="118">
        <f t="shared" si="43"/>
        <v>67</v>
      </c>
    </row>
    <row r="71" spans="1:28" s="5" customFormat="1" ht="24.9" customHeight="1" x14ac:dyDescent="0.3">
      <c r="A71" s="131">
        <v>7</v>
      </c>
      <c r="B71" s="131">
        <v>5</v>
      </c>
      <c r="C71" s="131" t="s">
        <v>145</v>
      </c>
      <c r="D71" s="116" t="s">
        <v>318</v>
      </c>
      <c r="E71" s="132">
        <v>65</v>
      </c>
      <c r="F71" s="115">
        <v>4</v>
      </c>
      <c r="G71" s="116" t="s">
        <v>319</v>
      </c>
      <c r="H71" s="132">
        <v>65</v>
      </c>
      <c r="I71" s="115">
        <v>3</v>
      </c>
      <c r="J71" s="132">
        <v>57</v>
      </c>
      <c r="K71" s="115">
        <v>5</v>
      </c>
      <c r="L71" s="114">
        <f t="shared" si="41"/>
        <v>187</v>
      </c>
      <c r="M71" s="127">
        <f t="shared" si="40"/>
        <v>75</v>
      </c>
      <c r="N71" s="116" t="s">
        <v>320</v>
      </c>
      <c r="O71" s="132">
        <v>43.5</v>
      </c>
      <c r="P71" s="117">
        <v>3</v>
      </c>
      <c r="Q71" s="116" t="s">
        <v>321</v>
      </c>
      <c r="R71" s="132">
        <v>44</v>
      </c>
      <c r="S71" s="117">
        <v>3</v>
      </c>
      <c r="T71" s="132">
        <v>39</v>
      </c>
      <c r="U71" s="115">
        <v>2</v>
      </c>
      <c r="V71" s="130">
        <f t="shared" si="42"/>
        <v>313.5</v>
      </c>
      <c r="W71" s="118">
        <f t="shared" si="43"/>
        <v>68</v>
      </c>
    </row>
    <row r="72" spans="1:28" s="5" customFormat="1" ht="24.9" customHeight="1" x14ac:dyDescent="0.3">
      <c r="A72" s="131">
        <v>8</v>
      </c>
      <c r="B72" s="131">
        <v>8</v>
      </c>
      <c r="C72" s="131" t="s">
        <v>146</v>
      </c>
      <c r="D72" s="116" t="s">
        <v>318</v>
      </c>
      <c r="E72" s="132">
        <v>66</v>
      </c>
      <c r="F72" s="115">
        <v>4</v>
      </c>
      <c r="G72" s="116" t="s">
        <v>319</v>
      </c>
      <c r="H72" s="132">
        <v>48</v>
      </c>
      <c r="I72" s="115">
        <v>4</v>
      </c>
      <c r="J72" s="132">
        <v>74</v>
      </c>
      <c r="K72" s="115">
        <v>3</v>
      </c>
      <c r="L72" s="114">
        <f t="shared" si="41"/>
        <v>188</v>
      </c>
      <c r="M72" s="127">
        <f t="shared" si="40"/>
        <v>74</v>
      </c>
      <c r="N72" s="116" t="s">
        <v>320</v>
      </c>
      <c r="O72" s="132">
        <v>42</v>
      </c>
      <c r="P72" s="117">
        <v>4</v>
      </c>
      <c r="Q72" s="116" t="s">
        <v>321</v>
      </c>
      <c r="R72" s="132">
        <v>41.5</v>
      </c>
      <c r="S72" s="117">
        <v>3</v>
      </c>
      <c r="T72" s="132">
        <v>42</v>
      </c>
      <c r="U72" s="115">
        <v>1</v>
      </c>
      <c r="V72" s="130">
        <f t="shared" si="42"/>
        <v>313.5</v>
      </c>
      <c r="W72" s="118">
        <f t="shared" si="43"/>
        <v>68</v>
      </c>
    </row>
    <row r="73" spans="1:28" s="5" customFormat="1" ht="24.9" customHeight="1" x14ac:dyDescent="0.3">
      <c r="A73" s="131">
        <v>6</v>
      </c>
      <c r="B73" s="131">
        <v>13</v>
      </c>
      <c r="C73" s="131" t="s">
        <v>147</v>
      </c>
      <c r="D73" s="116" t="s">
        <v>318</v>
      </c>
      <c r="E73" s="132">
        <v>74</v>
      </c>
      <c r="F73" s="115">
        <v>3</v>
      </c>
      <c r="G73" s="116" t="s">
        <v>319</v>
      </c>
      <c r="H73" s="132">
        <v>58</v>
      </c>
      <c r="I73" s="115">
        <v>3</v>
      </c>
      <c r="J73" s="132">
        <v>82</v>
      </c>
      <c r="K73" s="115">
        <v>2</v>
      </c>
      <c r="L73" s="114">
        <f t="shared" si="41"/>
        <v>214</v>
      </c>
      <c r="M73" s="127">
        <f t="shared" si="40"/>
        <v>49</v>
      </c>
      <c r="N73" s="116" t="s">
        <v>320</v>
      </c>
      <c r="O73" s="132">
        <v>50</v>
      </c>
      <c r="P73" s="117">
        <v>1</v>
      </c>
      <c r="Q73" s="116" t="s">
        <v>321</v>
      </c>
      <c r="R73" s="132">
        <v>32</v>
      </c>
      <c r="S73" s="117">
        <v>4</v>
      </c>
      <c r="T73" s="132">
        <v>17</v>
      </c>
      <c r="U73" s="115">
        <v>6</v>
      </c>
      <c r="V73" s="130">
        <f t="shared" si="42"/>
        <v>313</v>
      </c>
      <c r="W73" s="118">
        <f t="shared" si="43"/>
        <v>70</v>
      </c>
    </row>
    <row r="74" spans="1:28" s="5" customFormat="1" ht="24.9" customHeight="1" x14ac:dyDescent="0.3">
      <c r="A74" s="131">
        <v>7</v>
      </c>
      <c r="B74" s="131">
        <v>25</v>
      </c>
      <c r="C74" s="131" t="s">
        <v>148</v>
      </c>
      <c r="D74" s="116" t="s">
        <v>318</v>
      </c>
      <c r="E74" s="132">
        <v>76</v>
      </c>
      <c r="F74" s="115">
        <v>3</v>
      </c>
      <c r="G74" s="116" t="s">
        <v>319</v>
      </c>
      <c r="H74" s="132">
        <v>57</v>
      </c>
      <c r="I74" s="115">
        <v>3</v>
      </c>
      <c r="J74" s="132">
        <v>86</v>
      </c>
      <c r="K74" s="115">
        <v>2</v>
      </c>
      <c r="L74" s="114">
        <f t="shared" si="41"/>
        <v>219</v>
      </c>
      <c r="M74" s="127">
        <f t="shared" si="40"/>
        <v>42</v>
      </c>
      <c r="N74" s="116" t="s">
        <v>320</v>
      </c>
      <c r="O74" s="132">
        <v>43.5</v>
      </c>
      <c r="P74" s="117">
        <v>3</v>
      </c>
      <c r="Q74" s="116" t="s">
        <v>321</v>
      </c>
      <c r="R74" s="132">
        <v>34.5</v>
      </c>
      <c r="S74" s="117">
        <v>4</v>
      </c>
      <c r="T74" s="132">
        <v>16</v>
      </c>
      <c r="U74" s="115">
        <v>6</v>
      </c>
      <c r="V74" s="130">
        <f t="shared" si="42"/>
        <v>313</v>
      </c>
      <c r="W74" s="118">
        <f t="shared" si="43"/>
        <v>70</v>
      </c>
    </row>
    <row r="75" spans="1:28" s="5" customFormat="1" ht="24.9" customHeight="1" x14ac:dyDescent="0.3">
      <c r="A75" s="131">
        <v>9</v>
      </c>
      <c r="B75" s="131">
        <v>18</v>
      </c>
      <c r="C75" s="131" t="s">
        <v>149</v>
      </c>
      <c r="D75" s="116" t="s">
        <v>318</v>
      </c>
      <c r="E75" s="132">
        <v>74</v>
      </c>
      <c r="F75" s="115">
        <v>3</v>
      </c>
      <c r="G75" s="116" t="s">
        <v>319</v>
      </c>
      <c r="H75" s="132">
        <v>44</v>
      </c>
      <c r="I75" s="115">
        <v>4</v>
      </c>
      <c r="J75" s="132">
        <v>67</v>
      </c>
      <c r="K75" s="115">
        <v>4</v>
      </c>
      <c r="L75" s="114">
        <f t="shared" si="41"/>
        <v>185</v>
      </c>
      <c r="M75" s="127">
        <f t="shared" si="40"/>
        <v>77</v>
      </c>
      <c r="N75" s="116" t="s">
        <v>320</v>
      </c>
      <c r="O75" s="132">
        <v>41</v>
      </c>
      <c r="P75" s="117">
        <v>4</v>
      </c>
      <c r="Q75" s="116" t="s">
        <v>321</v>
      </c>
      <c r="R75" s="132">
        <v>48</v>
      </c>
      <c r="S75" s="117">
        <v>1</v>
      </c>
      <c r="T75" s="132">
        <v>36</v>
      </c>
      <c r="U75" s="115">
        <v>2</v>
      </c>
      <c r="V75" s="130">
        <f t="shared" si="42"/>
        <v>310</v>
      </c>
      <c r="W75" s="118">
        <f t="shared" si="43"/>
        <v>72</v>
      </c>
    </row>
    <row r="76" spans="1:28" s="5" customFormat="1" ht="24.9" customHeight="1" x14ac:dyDescent="0.3">
      <c r="A76" s="131">
        <v>7</v>
      </c>
      <c r="B76" s="131">
        <v>12</v>
      </c>
      <c r="C76" s="131" t="s">
        <v>150</v>
      </c>
      <c r="D76" s="116" t="s">
        <v>318</v>
      </c>
      <c r="E76" s="132">
        <v>78</v>
      </c>
      <c r="F76" s="115">
        <v>3</v>
      </c>
      <c r="G76" s="116" t="s">
        <v>319</v>
      </c>
      <c r="H76" s="132">
        <v>37</v>
      </c>
      <c r="I76" s="115">
        <v>5</v>
      </c>
      <c r="J76" s="132">
        <v>77</v>
      </c>
      <c r="K76" s="115">
        <v>3</v>
      </c>
      <c r="L76" s="114">
        <f t="shared" si="41"/>
        <v>192</v>
      </c>
      <c r="M76" s="127">
        <f t="shared" si="40"/>
        <v>71</v>
      </c>
      <c r="N76" s="116" t="s">
        <v>320</v>
      </c>
      <c r="O76" s="132">
        <v>41.5</v>
      </c>
      <c r="P76" s="117">
        <v>4</v>
      </c>
      <c r="Q76" s="116" t="s">
        <v>321</v>
      </c>
      <c r="R76" s="132">
        <v>31.5</v>
      </c>
      <c r="S76" s="117">
        <v>4</v>
      </c>
      <c r="T76" s="132">
        <v>43</v>
      </c>
      <c r="U76" s="115">
        <v>1</v>
      </c>
      <c r="V76" s="130">
        <f t="shared" si="42"/>
        <v>308</v>
      </c>
      <c r="W76" s="118">
        <f t="shared" si="43"/>
        <v>73</v>
      </c>
    </row>
    <row r="77" spans="1:28" s="5" customFormat="1" ht="24.9" customHeight="1" x14ac:dyDescent="0.3">
      <c r="A77" s="131">
        <v>2</v>
      </c>
      <c r="B77" s="131">
        <v>22</v>
      </c>
      <c r="C77" s="131" t="s">
        <v>151</v>
      </c>
      <c r="D77" s="116" t="s">
        <v>318</v>
      </c>
      <c r="E77" s="132">
        <v>57</v>
      </c>
      <c r="F77" s="115">
        <v>5</v>
      </c>
      <c r="G77" s="116" t="s">
        <v>319</v>
      </c>
      <c r="H77" s="132">
        <v>51</v>
      </c>
      <c r="I77" s="115">
        <v>4</v>
      </c>
      <c r="J77" s="132">
        <v>63</v>
      </c>
      <c r="K77" s="115">
        <v>4</v>
      </c>
      <c r="L77" s="114">
        <f t="shared" si="41"/>
        <v>171</v>
      </c>
      <c r="M77" s="127">
        <f t="shared" si="40"/>
        <v>97</v>
      </c>
      <c r="N77" s="116" t="s">
        <v>320</v>
      </c>
      <c r="O77" s="132">
        <v>45.5</v>
      </c>
      <c r="P77" s="117">
        <v>3</v>
      </c>
      <c r="Q77" s="116" t="s">
        <v>321</v>
      </c>
      <c r="R77" s="132">
        <v>41</v>
      </c>
      <c r="S77" s="117">
        <v>3</v>
      </c>
      <c r="T77" s="132">
        <v>50</v>
      </c>
      <c r="U77" s="115">
        <v>1</v>
      </c>
      <c r="V77" s="130">
        <f t="shared" si="42"/>
        <v>307.5</v>
      </c>
      <c r="W77" s="118">
        <f t="shared" si="43"/>
        <v>74</v>
      </c>
    </row>
    <row r="78" spans="1:28" s="5" customFormat="1" ht="24.9" customHeight="1" x14ac:dyDescent="0.3">
      <c r="A78" s="131">
        <v>8</v>
      </c>
      <c r="B78" s="131">
        <v>28</v>
      </c>
      <c r="C78" s="131" t="s">
        <v>83</v>
      </c>
      <c r="D78" s="116" t="s">
        <v>318</v>
      </c>
      <c r="E78" s="132">
        <v>49</v>
      </c>
      <c r="F78" s="115">
        <v>5</v>
      </c>
      <c r="G78" s="116" t="s">
        <v>319</v>
      </c>
      <c r="H78" s="132">
        <v>58</v>
      </c>
      <c r="I78" s="115">
        <v>3</v>
      </c>
      <c r="J78" s="132">
        <v>68</v>
      </c>
      <c r="K78" s="115">
        <v>4</v>
      </c>
      <c r="L78" s="114">
        <f t="shared" si="41"/>
        <v>175</v>
      </c>
      <c r="M78" s="127">
        <f t="shared" si="40"/>
        <v>93</v>
      </c>
      <c r="N78" s="116" t="s">
        <v>320</v>
      </c>
      <c r="O78" s="132">
        <v>47.5</v>
      </c>
      <c r="P78" s="117">
        <v>2</v>
      </c>
      <c r="Q78" s="116" t="s">
        <v>321</v>
      </c>
      <c r="R78" s="132">
        <v>37.5</v>
      </c>
      <c r="S78" s="117">
        <v>3</v>
      </c>
      <c r="T78" s="132">
        <v>47</v>
      </c>
      <c r="U78" s="115">
        <v>1</v>
      </c>
      <c r="V78" s="130">
        <f t="shared" si="42"/>
        <v>307</v>
      </c>
      <c r="W78" s="118">
        <f t="shared" si="43"/>
        <v>75</v>
      </c>
    </row>
    <row r="79" spans="1:28" ht="24.9" customHeight="1" x14ac:dyDescent="0.3">
      <c r="A79" s="131">
        <v>9</v>
      </c>
      <c r="B79" s="131">
        <v>24</v>
      </c>
      <c r="C79" s="131" t="s">
        <v>152</v>
      </c>
      <c r="D79" s="116" t="s">
        <v>318</v>
      </c>
      <c r="E79" s="132">
        <v>63</v>
      </c>
      <c r="F79" s="115">
        <v>4</v>
      </c>
      <c r="G79" s="116" t="s">
        <v>319</v>
      </c>
      <c r="H79" s="132">
        <v>47</v>
      </c>
      <c r="I79" s="115">
        <v>4</v>
      </c>
      <c r="J79" s="132">
        <v>79</v>
      </c>
      <c r="K79" s="115">
        <v>3</v>
      </c>
      <c r="L79" s="114">
        <f t="shared" si="41"/>
        <v>189</v>
      </c>
      <c r="M79" s="127">
        <f t="shared" si="40"/>
        <v>72</v>
      </c>
      <c r="N79" s="116" t="s">
        <v>320</v>
      </c>
      <c r="O79" s="132">
        <v>46.5</v>
      </c>
      <c r="P79" s="117">
        <v>3</v>
      </c>
      <c r="Q79" s="116" t="s">
        <v>321</v>
      </c>
      <c r="R79" s="132">
        <v>35.5</v>
      </c>
      <c r="S79" s="117">
        <v>4</v>
      </c>
      <c r="T79" s="132">
        <v>35</v>
      </c>
      <c r="U79" s="115">
        <v>2</v>
      </c>
      <c r="V79" s="130">
        <f t="shared" si="42"/>
        <v>306</v>
      </c>
      <c r="W79" s="118">
        <f t="shared" si="43"/>
        <v>76</v>
      </c>
      <c r="X79" s="5"/>
      <c r="Y79" s="5"/>
      <c r="Z79" s="5"/>
      <c r="AA79" s="5"/>
      <c r="AB79" s="5"/>
    </row>
    <row r="80" spans="1:28" ht="24.9" customHeight="1" x14ac:dyDescent="0.3">
      <c r="A80" s="131">
        <v>9</v>
      </c>
      <c r="B80" s="131">
        <v>11</v>
      </c>
      <c r="C80" s="131" t="s">
        <v>29</v>
      </c>
      <c r="D80" s="116" t="s">
        <v>318</v>
      </c>
      <c r="E80" s="132">
        <v>61</v>
      </c>
      <c r="F80" s="115">
        <v>4</v>
      </c>
      <c r="G80" s="116" t="s">
        <v>319</v>
      </c>
      <c r="H80" s="132">
        <v>41</v>
      </c>
      <c r="I80" s="115">
        <v>5</v>
      </c>
      <c r="J80" s="132">
        <v>75</v>
      </c>
      <c r="K80" s="115">
        <v>3</v>
      </c>
      <c r="L80" s="114">
        <f t="shared" si="41"/>
        <v>177</v>
      </c>
      <c r="M80" s="127">
        <f t="shared" si="40"/>
        <v>86</v>
      </c>
      <c r="N80" s="116" t="s">
        <v>320</v>
      </c>
      <c r="O80" s="132">
        <v>43.5</v>
      </c>
      <c r="P80" s="117">
        <v>3</v>
      </c>
      <c r="Q80" s="116" t="s">
        <v>321</v>
      </c>
      <c r="R80" s="132">
        <v>37.5</v>
      </c>
      <c r="S80" s="117">
        <v>3</v>
      </c>
      <c r="T80" s="132">
        <v>47</v>
      </c>
      <c r="U80" s="115">
        <v>1</v>
      </c>
      <c r="V80" s="130">
        <f t="shared" si="42"/>
        <v>305</v>
      </c>
      <c r="W80" s="118">
        <f t="shared" si="43"/>
        <v>77</v>
      </c>
      <c r="Y80" s="5"/>
      <c r="Z80" s="5"/>
      <c r="AA80" s="5"/>
      <c r="AB80" s="5"/>
    </row>
    <row r="81" spans="1:28" ht="24.9" customHeight="1" x14ac:dyDescent="0.3">
      <c r="A81" s="131">
        <v>2</v>
      </c>
      <c r="B81" s="131">
        <v>3</v>
      </c>
      <c r="C81" s="131" t="s">
        <v>153</v>
      </c>
      <c r="D81" s="116" t="s">
        <v>318</v>
      </c>
      <c r="E81" s="132">
        <v>56</v>
      </c>
      <c r="F81" s="115">
        <v>5</v>
      </c>
      <c r="G81" s="116" t="s">
        <v>319</v>
      </c>
      <c r="H81" s="132">
        <v>48</v>
      </c>
      <c r="I81" s="115">
        <v>4</v>
      </c>
      <c r="J81" s="132">
        <v>81</v>
      </c>
      <c r="K81" s="115">
        <v>2</v>
      </c>
      <c r="L81" s="114">
        <f t="shared" si="41"/>
        <v>185</v>
      </c>
      <c r="M81" s="127">
        <f t="shared" si="40"/>
        <v>77</v>
      </c>
      <c r="N81" s="116" t="s">
        <v>320</v>
      </c>
      <c r="O81" s="132">
        <v>46</v>
      </c>
      <c r="P81" s="117">
        <v>3</v>
      </c>
      <c r="Q81" s="116" t="s">
        <v>321</v>
      </c>
      <c r="R81" s="132">
        <v>30.5</v>
      </c>
      <c r="S81" s="117">
        <v>4</v>
      </c>
      <c r="T81" s="132">
        <v>43</v>
      </c>
      <c r="U81" s="115">
        <v>1</v>
      </c>
      <c r="V81" s="130">
        <f t="shared" si="42"/>
        <v>304.5</v>
      </c>
      <c r="W81" s="118">
        <f t="shared" si="43"/>
        <v>78</v>
      </c>
      <c r="Y81" s="5"/>
      <c r="Z81" s="5"/>
      <c r="AA81" s="5"/>
      <c r="AB81" s="5"/>
    </row>
    <row r="82" spans="1:28" ht="24.9" customHeight="1" x14ac:dyDescent="0.3">
      <c r="A82" s="131">
        <v>5</v>
      </c>
      <c r="B82" s="131">
        <v>28</v>
      </c>
      <c r="C82" s="131" t="s">
        <v>17</v>
      </c>
      <c r="D82" s="116" t="s">
        <v>318</v>
      </c>
      <c r="E82" s="132">
        <v>57</v>
      </c>
      <c r="F82" s="115">
        <v>5</v>
      </c>
      <c r="G82" s="116" t="s">
        <v>319</v>
      </c>
      <c r="H82" s="132">
        <v>63</v>
      </c>
      <c r="I82" s="115">
        <v>3</v>
      </c>
      <c r="J82" s="132">
        <v>95</v>
      </c>
      <c r="K82" s="115">
        <v>1</v>
      </c>
      <c r="L82" s="114">
        <f t="shared" si="41"/>
        <v>215</v>
      </c>
      <c r="M82" s="127">
        <f t="shared" si="40"/>
        <v>45</v>
      </c>
      <c r="N82" s="116" t="s">
        <v>320</v>
      </c>
      <c r="O82" s="132">
        <v>32</v>
      </c>
      <c r="P82" s="117">
        <v>5</v>
      </c>
      <c r="Q82" s="116" t="s">
        <v>321</v>
      </c>
      <c r="R82" s="132">
        <v>31.5</v>
      </c>
      <c r="S82" s="117">
        <v>4</v>
      </c>
      <c r="T82" s="132">
        <v>25</v>
      </c>
      <c r="U82" s="115">
        <v>4</v>
      </c>
      <c r="V82" s="130">
        <f t="shared" si="42"/>
        <v>303.5</v>
      </c>
      <c r="W82" s="118">
        <f t="shared" si="43"/>
        <v>79</v>
      </c>
      <c r="Y82" s="45"/>
      <c r="Z82" s="45"/>
      <c r="AA82" s="5"/>
      <c r="AB82" s="5"/>
    </row>
    <row r="83" spans="1:28" ht="24.9" customHeight="1" x14ac:dyDescent="0.3">
      <c r="A83" s="131">
        <v>5</v>
      </c>
      <c r="B83" s="131">
        <v>14</v>
      </c>
      <c r="C83" s="131" t="s">
        <v>154</v>
      </c>
      <c r="D83" s="116" t="s">
        <v>318</v>
      </c>
      <c r="E83" s="132">
        <v>51</v>
      </c>
      <c r="F83" s="115">
        <v>5</v>
      </c>
      <c r="G83" s="116" t="s">
        <v>319</v>
      </c>
      <c r="H83" s="132">
        <v>62</v>
      </c>
      <c r="I83" s="115">
        <v>3</v>
      </c>
      <c r="J83" s="132">
        <v>58</v>
      </c>
      <c r="K83" s="115">
        <v>5</v>
      </c>
      <c r="L83" s="114">
        <f t="shared" si="41"/>
        <v>171</v>
      </c>
      <c r="M83" s="127">
        <f t="shared" si="40"/>
        <v>97</v>
      </c>
      <c r="N83" s="116" t="s">
        <v>320</v>
      </c>
      <c r="O83" s="132">
        <v>46</v>
      </c>
      <c r="P83" s="117">
        <v>3</v>
      </c>
      <c r="Q83" s="116" t="s">
        <v>321</v>
      </c>
      <c r="R83" s="132">
        <v>34.5</v>
      </c>
      <c r="S83" s="117">
        <v>4</v>
      </c>
      <c r="T83" s="132">
        <v>50</v>
      </c>
      <c r="U83" s="115">
        <v>1</v>
      </c>
      <c r="V83" s="130">
        <f t="shared" si="42"/>
        <v>301.5</v>
      </c>
      <c r="W83" s="118">
        <f t="shared" si="43"/>
        <v>80</v>
      </c>
      <c r="Y83" s="5"/>
      <c r="Z83" s="5"/>
      <c r="AA83" s="5"/>
      <c r="AB83" s="5"/>
    </row>
    <row r="84" spans="1:28" ht="24.9" customHeight="1" x14ac:dyDescent="0.3">
      <c r="A84" s="131">
        <v>2</v>
      </c>
      <c r="B84" s="131">
        <v>11</v>
      </c>
      <c r="C84" s="131" t="s">
        <v>155</v>
      </c>
      <c r="D84" s="116" t="s">
        <v>318</v>
      </c>
      <c r="E84" s="132">
        <v>45</v>
      </c>
      <c r="F84" s="115">
        <v>6</v>
      </c>
      <c r="G84" s="116" t="s">
        <v>319</v>
      </c>
      <c r="H84" s="132">
        <v>48</v>
      </c>
      <c r="I84" s="115">
        <v>4</v>
      </c>
      <c r="J84" s="132">
        <v>83</v>
      </c>
      <c r="K84" s="115">
        <v>2</v>
      </c>
      <c r="L84" s="114">
        <f t="shared" si="41"/>
        <v>176</v>
      </c>
      <c r="M84" s="127">
        <f t="shared" si="40"/>
        <v>90</v>
      </c>
      <c r="N84" s="116" t="s">
        <v>320</v>
      </c>
      <c r="O84" s="132">
        <v>39</v>
      </c>
      <c r="P84" s="117">
        <v>4</v>
      </c>
      <c r="Q84" s="116" t="s">
        <v>321</v>
      </c>
      <c r="R84" s="132">
        <v>43.5</v>
      </c>
      <c r="S84" s="117">
        <v>3</v>
      </c>
      <c r="T84" s="132">
        <v>42</v>
      </c>
      <c r="U84" s="115">
        <v>1</v>
      </c>
      <c r="V84" s="130">
        <f t="shared" si="42"/>
        <v>300.5</v>
      </c>
      <c r="W84" s="118">
        <f t="shared" si="43"/>
        <v>81</v>
      </c>
      <c r="Y84" s="44"/>
      <c r="Z84" s="44"/>
      <c r="AA84" s="5"/>
      <c r="AB84" s="5"/>
    </row>
    <row r="85" spans="1:28" ht="24.9" customHeight="1" x14ac:dyDescent="0.3">
      <c r="A85" s="131">
        <v>7</v>
      </c>
      <c r="B85" s="131">
        <v>16</v>
      </c>
      <c r="C85" s="131" t="s">
        <v>156</v>
      </c>
      <c r="D85" s="116" t="s">
        <v>318</v>
      </c>
      <c r="E85" s="132">
        <v>72</v>
      </c>
      <c r="F85" s="115">
        <v>4</v>
      </c>
      <c r="G85" s="116" t="s">
        <v>319</v>
      </c>
      <c r="H85" s="132">
        <v>27</v>
      </c>
      <c r="I85" s="115">
        <v>6</v>
      </c>
      <c r="J85" s="132">
        <v>67</v>
      </c>
      <c r="K85" s="115">
        <v>4</v>
      </c>
      <c r="L85" s="114">
        <f t="shared" si="41"/>
        <v>166</v>
      </c>
      <c r="M85" s="127">
        <f t="shared" si="40"/>
        <v>112</v>
      </c>
      <c r="N85" s="116" t="s">
        <v>320</v>
      </c>
      <c r="O85" s="132">
        <v>47.5</v>
      </c>
      <c r="P85" s="117">
        <v>2</v>
      </c>
      <c r="Q85" s="116" t="s">
        <v>321</v>
      </c>
      <c r="R85" s="132">
        <v>42.5</v>
      </c>
      <c r="S85" s="117">
        <v>3</v>
      </c>
      <c r="T85" s="132">
        <v>44</v>
      </c>
      <c r="U85" s="115">
        <v>1</v>
      </c>
      <c r="V85" s="130">
        <f t="shared" si="42"/>
        <v>300</v>
      </c>
      <c r="W85" s="118">
        <f t="shared" si="43"/>
        <v>82</v>
      </c>
      <c r="AA85" s="5"/>
      <c r="AB85" s="5"/>
    </row>
    <row r="86" spans="1:28" ht="24.9" customHeight="1" x14ac:dyDescent="0.3">
      <c r="A86" s="131">
        <v>10</v>
      </c>
      <c r="B86" s="131">
        <v>22</v>
      </c>
      <c r="C86" s="131" t="s">
        <v>157</v>
      </c>
      <c r="D86" s="116" t="s">
        <v>318</v>
      </c>
      <c r="E86" s="132">
        <v>65</v>
      </c>
      <c r="F86" s="115">
        <v>4</v>
      </c>
      <c r="G86" s="116" t="s">
        <v>319</v>
      </c>
      <c r="H86" s="132">
        <v>66</v>
      </c>
      <c r="I86" s="115">
        <v>2</v>
      </c>
      <c r="J86" s="132">
        <v>46</v>
      </c>
      <c r="K86" s="115">
        <v>6</v>
      </c>
      <c r="L86" s="114">
        <f t="shared" si="41"/>
        <v>177</v>
      </c>
      <c r="M86" s="127">
        <f t="shared" si="40"/>
        <v>86</v>
      </c>
      <c r="N86" s="116" t="s">
        <v>320</v>
      </c>
      <c r="O86" s="132">
        <v>46</v>
      </c>
      <c r="P86" s="117">
        <v>3</v>
      </c>
      <c r="Q86" s="116" t="s">
        <v>321</v>
      </c>
      <c r="R86" s="132">
        <v>35.5</v>
      </c>
      <c r="S86" s="117">
        <v>4</v>
      </c>
      <c r="T86" s="132">
        <v>41</v>
      </c>
      <c r="U86" s="115">
        <v>1</v>
      </c>
      <c r="V86" s="130">
        <f t="shared" si="42"/>
        <v>299.5</v>
      </c>
      <c r="W86" s="118">
        <f t="shared" si="43"/>
        <v>83</v>
      </c>
      <c r="AA86" s="5"/>
      <c r="AB86" s="5"/>
    </row>
    <row r="87" spans="1:28" ht="24.9" customHeight="1" x14ac:dyDescent="0.3">
      <c r="A87" s="131">
        <v>4</v>
      </c>
      <c r="B87" s="131">
        <v>14</v>
      </c>
      <c r="C87" s="131" t="s">
        <v>158</v>
      </c>
      <c r="D87" s="116" t="s">
        <v>318</v>
      </c>
      <c r="E87" s="132">
        <v>52</v>
      </c>
      <c r="F87" s="115">
        <v>5</v>
      </c>
      <c r="G87" s="116" t="s">
        <v>319</v>
      </c>
      <c r="H87" s="132">
        <v>55</v>
      </c>
      <c r="I87" s="115">
        <v>3</v>
      </c>
      <c r="J87" s="132">
        <v>60</v>
      </c>
      <c r="K87" s="115">
        <v>4</v>
      </c>
      <c r="L87" s="114">
        <f t="shared" si="41"/>
        <v>167</v>
      </c>
      <c r="M87" s="127">
        <f t="shared" si="40"/>
        <v>109</v>
      </c>
      <c r="N87" s="116" t="s">
        <v>320</v>
      </c>
      <c r="O87" s="132">
        <v>47.5</v>
      </c>
      <c r="P87" s="117">
        <v>2</v>
      </c>
      <c r="Q87" s="116" t="s">
        <v>321</v>
      </c>
      <c r="R87" s="132">
        <v>34</v>
      </c>
      <c r="S87" s="117">
        <v>4</v>
      </c>
      <c r="T87" s="132">
        <v>50</v>
      </c>
      <c r="U87" s="115">
        <v>1</v>
      </c>
      <c r="V87" s="130">
        <f t="shared" si="42"/>
        <v>298.5</v>
      </c>
      <c r="W87" s="118">
        <f t="shared" si="43"/>
        <v>84</v>
      </c>
      <c r="AA87" s="5"/>
      <c r="AB87" s="5"/>
    </row>
    <row r="88" spans="1:28" ht="24.9" customHeight="1" x14ac:dyDescent="0.3">
      <c r="A88" s="131">
        <v>6</v>
      </c>
      <c r="B88" s="131">
        <v>24</v>
      </c>
      <c r="C88" s="131" t="s">
        <v>159</v>
      </c>
      <c r="D88" s="116" t="s">
        <v>318</v>
      </c>
      <c r="E88" s="132">
        <v>69</v>
      </c>
      <c r="F88" s="115">
        <v>4</v>
      </c>
      <c r="G88" s="116" t="s">
        <v>319</v>
      </c>
      <c r="H88" s="132">
        <v>70</v>
      </c>
      <c r="I88" s="115">
        <v>2</v>
      </c>
      <c r="J88" s="132">
        <v>81</v>
      </c>
      <c r="K88" s="115">
        <v>2</v>
      </c>
      <c r="L88" s="114">
        <f t="shared" si="41"/>
        <v>220</v>
      </c>
      <c r="M88" s="127">
        <f t="shared" si="40"/>
        <v>39</v>
      </c>
      <c r="N88" s="116" t="s">
        <v>320</v>
      </c>
      <c r="O88" s="132">
        <v>34.5</v>
      </c>
      <c r="P88" s="117">
        <v>5</v>
      </c>
      <c r="Q88" s="116" t="s">
        <v>321</v>
      </c>
      <c r="R88" s="132">
        <v>25</v>
      </c>
      <c r="S88" s="117">
        <v>5</v>
      </c>
      <c r="T88" s="132">
        <v>17</v>
      </c>
      <c r="U88" s="115">
        <v>6</v>
      </c>
      <c r="V88" s="130">
        <f t="shared" si="42"/>
        <v>296.5</v>
      </c>
      <c r="W88" s="118">
        <f t="shared" si="43"/>
        <v>85</v>
      </c>
      <c r="AA88" s="5"/>
      <c r="AB88" s="5"/>
    </row>
    <row r="89" spans="1:28" ht="24.9" customHeight="1" x14ac:dyDescent="0.3">
      <c r="A89" s="131">
        <v>2</v>
      </c>
      <c r="B89" s="131">
        <v>21</v>
      </c>
      <c r="C89" s="131" t="s">
        <v>160</v>
      </c>
      <c r="D89" s="116" t="s">
        <v>318</v>
      </c>
      <c r="E89" s="132">
        <v>59</v>
      </c>
      <c r="F89" s="115">
        <v>5</v>
      </c>
      <c r="G89" s="116" t="s">
        <v>319</v>
      </c>
      <c r="H89" s="132">
        <v>25</v>
      </c>
      <c r="I89" s="115">
        <v>6</v>
      </c>
      <c r="J89" s="132">
        <v>79</v>
      </c>
      <c r="K89" s="115">
        <v>3</v>
      </c>
      <c r="L89" s="114">
        <f t="shared" si="41"/>
        <v>163</v>
      </c>
      <c r="M89" s="127">
        <f t="shared" si="40"/>
        <v>124</v>
      </c>
      <c r="N89" s="116" t="s">
        <v>320</v>
      </c>
      <c r="O89" s="132">
        <v>43</v>
      </c>
      <c r="P89" s="117">
        <v>3</v>
      </c>
      <c r="Q89" s="116" t="s">
        <v>321</v>
      </c>
      <c r="R89" s="132">
        <v>47.5</v>
      </c>
      <c r="S89" s="117">
        <v>1</v>
      </c>
      <c r="T89" s="132">
        <v>40</v>
      </c>
      <c r="U89" s="115">
        <v>1</v>
      </c>
      <c r="V89" s="130">
        <f t="shared" si="42"/>
        <v>293.5</v>
      </c>
      <c r="W89" s="118">
        <f t="shared" si="43"/>
        <v>86</v>
      </c>
      <c r="AA89" s="5"/>
      <c r="AB89" s="5"/>
    </row>
    <row r="90" spans="1:28" ht="24.9" customHeight="1" x14ac:dyDescent="0.3">
      <c r="A90" s="131">
        <v>5</v>
      </c>
      <c r="B90" s="131">
        <v>23</v>
      </c>
      <c r="C90" s="131" t="s">
        <v>161</v>
      </c>
      <c r="D90" s="116" t="s">
        <v>318</v>
      </c>
      <c r="E90" s="132">
        <v>67</v>
      </c>
      <c r="F90" s="115">
        <v>4</v>
      </c>
      <c r="G90" s="116" t="s">
        <v>319</v>
      </c>
      <c r="H90" s="132">
        <v>44</v>
      </c>
      <c r="I90" s="115">
        <v>4</v>
      </c>
      <c r="J90" s="132">
        <v>75</v>
      </c>
      <c r="K90" s="115">
        <v>3</v>
      </c>
      <c r="L90" s="114">
        <f t="shared" si="41"/>
        <v>186</v>
      </c>
      <c r="M90" s="127">
        <f t="shared" si="40"/>
        <v>76</v>
      </c>
      <c r="N90" s="116" t="s">
        <v>320</v>
      </c>
      <c r="O90" s="132">
        <v>38</v>
      </c>
      <c r="P90" s="117">
        <v>4</v>
      </c>
      <c r="Q90" s="116" t="s">
        <v>321</v>
      </c>
      <c r="R90" s="132">
        <v>30</v>
      </c>
      <c r="S90" s="117">
        <v>4</v>
      </c>
      <c r="T90" s="132">
        <v>39</v>
      </c>
      <c r="U90" s="115">
        <v>2</v>
      </c>
      <c r="V90" s="130">
        <f t="shared" si="42"/>
        <v>293</v>
      </c>
      <c r="W90" s="118">
        <f t="shared" si="43"/>
        <v>87</v>
      </c>
      <c r="AA90" s="5"/>
      <c r="AB90" s="5"/>
    </row>
    <row r="91" spans="1:28" ht="24.9" customHeight="1" x14ac:dyDescent="0.3">
      <c r="A91" s="131">
        <v>5</v>
      </c>
      <c r="B91" s="131">
        <v>26</v>
      </c>
      <c r="C91" s="131" t="s">
        <v>162</v>
      </c>
      <c r="D91" s="116" t="s">
        <v>318</v>
      </c>
      <c r="E91" s="132">
        <v>54</v>
      </c>
      <c r="F91" s="115">
        <v>5</v>
      </c>
      <c r="G91" s="116" t="s">
        <v>319</v>
      </c>
      <c r="H91" s="132">
        <v>27</v>
      </c>
      <c r="I91" s="115">
        <v>6</v>
      </c>
      <c r="J91" s="132">
        <v>87</v>
      </c>
      <c r="K91" s="115">
        <v>2</v>
      </c>
      <c r="L91" s="114">
        <f t="shared" si="41"/>
        <v>168</v>
      </c>
      <c r="M91" s="127">
        <f t="shared" si="40"/>
        <v>108</v>
      </c>
      <c r="N91" s="116" t="s">
        <v>320</v>
      </c>
      <c r="O91" s="132">
        <v>47.5</v>
      </c>
      <c r="P91" s="117">
        <v>2</v>
      </c>
      <c r="Q91" s="116" t="s">
        <v>321</v>
      </c>
      <c r="R91" s="132">
        <v>33.5</v>
      </c>
      <c r="S91" s="117">
        <v>4</v>
      </c>
      <c r="T91" s="132">
        <v>44</v>
      </c>
      <c r="U91" s="115">
        <v>1</v>
      </c>
      <c r="V91" s="130">
        <f t="shared" si="42"/>
        <v>293</v>
      </c>
      <c r="W91" s="118">
        <f t="shared" si="43"/>
        <v>87</v>
      </c>
    </row>
    <row r="92" spans="1:28" ht="24.9" customHeight="1" x14ac:dyDescent="0.3">
      <c r="A92" s="131">
        <v>4</v>
      </c>
      <c r="B92" s="131">
        <v>7</v>
      </c>
      <c r="C92" s="131" t="s">
        <v>163</v>
      </c>
      <c r="D92" s="116" t="s">
        <v>318</v>
      </c>
      <c r="E92" s="132">
        <v>55</v>
      </c>
      <c r="F92" s="115">
        <v>5</v>
      </c>
      <c r="G92" s="116" t="s">
        <v>319</v>
      </c>
      <c r="H92" s="132">
        <v>45</v>
      </c>
      <c r="I92" s="115">
        <v>4</v>
      </c>
      <c r="J92" s="132">
        <v>83</v>
      </c>
      <c r="K92" s="115">
        <v>2</v>
      </c>
      <c r="L92" s="114">
        <f t="shared" si="41"/>
        <v>183</v>
      </c>
      <c r="M92" s="127">
        <f t="shared" si="40"/>
        <v>79</v>
      </c>
      <c r="N92" s="116" t="s">
        <v>320</v>
      </c>
      <c r="O92" s="132">
        <v>40.5</v>
      </c>
      <c r="P92" s="117">
        <v>4</v>
      </c>
      <c r="Q92" s="116" t="s">
        <v>321</v>
      </c>
      <c r="R92" s="132">
        <v>27</v>
      </c>
      <c r="S92" s="117">
        <v>5</v>
      </c>
      <c r="T92" s="132">
        <v>42</v>
      </c>
      <c r="U92" s="115">
        <v>1</v>
      </c>
      <c r="V92" s="130">
        <f t="shared" si="42"/>
        <v>292.5</v>
      </c>
      <c r="W92" s="118">
        <f t="shared" si="43"/>
        <v>89</v>
      </c>
    </row>
    <row r="93" spans="1:28" ht="24.9" customHeight="1" x14ac:dyDescent="0.3">
      <c r="A93" s="131">
        <v>4</v>
      </c>
      <c r="B93" s="131">
        <v>8</v>
      </c>
      <c r="C93" s="131" t="s">
        <v>164</v>
      </c>
      <c r="D93" s="116" t="s">
        <v>318</v>
      </c>
      <c r="E93" s="132">
        <v>69</v>
      </c>
      <c r="F93" s="115">
        <v>4</v>
      </c>
      <c r="G93" s="116" t="s">
        <v>319</v>
      </c>
      <c r="H93" s="132">
        <v>52</v>
      </c>
      <c r="I93" s="115">
        <v>4</v>
      </c>
      <c r="J93" s="132">
        <v>53</v>
      </c>
      <c r="K93" s="115">
        <v>5</v>
      </c>
      <c r="L93" s="114">
        <f t="shared" si="41"/>
        <v>174</v>
      </c>
      <c r="M93" s="127">
        <f t="shared" si="40"/>
        <v>94</v>
      </c>
      <c r="N93" s="116" t="s">
        <v>320</v>
      </c>
      <c r="O93" s="132">
        <v>45</v>
      </c>
      <c r="P93" s="117">
        <v>3</v>
      </c>
      <c r="Q93" s="116" t="s">
        <v>321</v>
      </c>
      <c r="R93" s="132">
        <v>37.5</v>
      </c>
      <c r="S93" s="117">
        <v>3</v>
      </c>
      <c r="T93" s="132">
        <v>36</v>
      </c>
      <c r="U93" s="115">
        <v>2</v>
      </c>
      <c r="V93" s="130">
        <f t="shared" si="42"/>
        <v>292.5</v>
      </c>
      <c r="W93" s="118">
        <f t="shared" si="43"/>
        <v>89</v>
      </c>
    </row>
    <row r="94" spans="1:28" ht="24.9" customHeight="1" x14ac:dyDescent="0.3">
      <c r="A94" s="131">
        <v>5</v>
      </c>
      <c r="B94" s="131">
        <v>8</v>
      </c>
      <c r="C94" s="131" t="s">
        <v>165</v>
      </c>
      <c r="D94" s="116" t="s">
        <v>318</v>
      </c>
      <c r="E94" s="132">
        <v>88</v>
      </c>
      <c r="F94" s="115">
        <v>2</v>
      </c>
      <c r="G94" s="116" t="s">
        <v>319</v>
      </c>
      <c r="H94" s="132">
        <v>28</v>
      </c>
      <c r="I94" s="115">
        <v>6</v>
      </c>
      <c r="J94" s="132">
        <v>84</v>
      </c>
      <c r="K94" s="115">
        <v>2</v>
      </c>
      <c r="L94" s="114">
        <f t="shared" si="41"/>
        <v>200</v>
      </c>
      <c r="M94" s="127">
        <f t="shared" si="40"/>
        <v>61</v>
      </c>
      <c r="N94" s="116" t="s">
        <v>320</v>
      </c>
      <c r="O94" s="132">
        <v>35.5</v>
      </c>
      <c r="P94" s="117">
        <v>5</v>
      </c>
      <c r="Q94" s="116" t="s">
        <v>321</v>
      </c>
      <c r="R94" s="132">
        <v>22.5</v>
      </c>
      <c r="S94" s="117">
        <v>5</v>
      </c>
      <c r="T94" s="132">
        <v>34</v>
      </c>
      <c r="U94" s="115">
        <v>3</v>
      </c>
      <c r="V94" s="130">
        <f t="shared" si="42"/>
        <v>292</v>
      </c>
      <c r="W94" s="118">
        <f t="shared" si="43"/>
        <v>91</v>
      </c>
      <c r="Y94" s="44"/>
      <c r="Z94" s="44"/>
    </row>
    <row r="95" spans="1:28" ht="24.9" customHeight="1" x14ac:dyDescent="0.3">
      <c r="A95" s="131">
        <v>1</v>
      </c>
      <c r="B95" s="131">
        <v>20</v>
      </c>
      <c r="C95" s="131" t="s">
        <v>166</v>
      </c>
      <c r="D95" s="116" t="s">
        <v>318</v>
      </c>
      <c r="E95" s="132">
        <v>63</v>
      </c>
      <c r="F95" s="115">
        <v>4</v>
      </c>
      <c r="G95" s="116" t="s">
        <v>319</v>
      </c>
      <c r="H95" s="132">
        <v>47</v>
      </c>
      <c r="I95" s="115">
        <v>4</v>
      </c>
      <c r="J95" s="132">
        <v>63</v>
      </c>
      <c r="K95" s="115">
        <v>4</v>
      </c>
      <c r="L95" s="114">
        <f t="shared" si="41"/>
        <v>173</v>
      </c>
      <c r="M95" s="127">
        <f t="shared" si="40"/>
        <v>96</v>
      </c>
      <c r="N95" s="116" t="s">
        <v>320</v>
      </c>
      <c r="O95" s="132">
        <v>45</v>
      </c>
      <c r="P95" s="117">
        <v>3</v>
      </c>
      <c r="Q95" s="116" t="s">
        <v>321</v>
      </c>
      <c r="R95" s="132">
        <v>33.5</v>
      </c>
      <c r="S95" s="117">
        <v>4</v>
      </c>
      <c r="T95" s="132">
        <v>39</v>
      </c>
      <c r="U95" s="115">
        <v>2</v>
      </c>
      <c r="V95" s="130">
        <f t="shared" si="42"/>
        <v>290.5</v>
      </c>
      <c r="W95" s="118">
        <f t="shared" si="43"/>
        <v>92</v>
      </c>
    </row>
    <row r="96" spans="1:28" ht="24.9" customHeight="1" x14ac:dyDescent="0.3">
      <c r="A96" s="131">
        <v>9</v>
      </c>
      <c r="B96" s="131">
        <v>15</v>
      </c>
      <c r="C96" s="131" t="s">
        <v>167</v>
      </c>
      <c r="D96" s="116" t="s">
        <v>318</v>
      </c>
      <c r="E96" s="132">
        <v>71</v>
      </c>
      <c r="F96" s="115">
        <v>4</v>
      </c>
      <c r="G96" s="116" t="s">
        <v>319</v>
      </c>
      <c r="H96" s="132">
        <v>42</v>
      </c>
      <c r="I96" s="115">
        <v>5</v>
      </c>
      <c r="J96" s="132">
        <v>51</v>
      </c>
      <c r="K96" s="115">
        <v>5</v>
      </c>
      <c r="L96" s="114">
        <f t="shared" si="41"/>
        <v>164</v>
      </c>
      <c r="M96" s="127">
        <f t="shared" si="40"/>
        <v>120</v>
      </c>
      <c r="N96" s="116" t="s">
        <v>320</v>
      </c>
      <c r="O96" s="132">
        <v>44</v>
      </c>
      <c r="P96" s="117">
        <v>3</v>
      </c>
      <c r="Q96" s="116" t="s">
        <v>321</v>
      </c>
      <c r="R96" s="132">
        <v>35.5</v>
      </c>
      <c r="S96" s="117">
        <v>4</v>
      </c>
      <c r="T96" s="132">
        <v>47</v>
      </c>
      <c r="U96" s="115">
        <v>1</v>
      </c>
      <c r="V96" s="130">
        <f t="shared" si="42"/>
        <v>290.5</v>
      </c>
      <c r="W96" s="118">
        <f t="shared" si="43"/>
        <v>92</v>
      </c>
    </row>
    <row r="97" spans="1:26" ht="24.9" customHeight="1" x14ac:dyDescent="0.3">
      <c r="A97" s="131">
        <v>10</v>
      </c>
      <c r="B97" s="131">
        <v>12</v>
      </c>
      <c r="C97" s="131" t="s">
        <v>168</v>
      </c>
      <c r="D97" s="116" t="s">
        <v>318</v>
      </c>
      <c r="E97" s="132">
        <v>68</v>
      </c>
      <c r="F97" s="115">
        <v>4</v>
      </c>
      <c r="G97" s="116" t="s">
        <v>319</v>
      </c>
      <c r="H97" s="132">
        <v>37</v>
      </c>
      <c r="I97" s="115">
        <v>5</v>
      </c>
      <c r="J97" s="132">
        <v>60</v>
      </c>
      <c r="K97" s="115">
        <v>4</v>
      </c>
      <c r="L97" s="114">
        <f t="shared" si="41"/>
        <v>165</v>
      </c>
      <c r="M97" s="127">
        <f t="shared" si="40"/>
        <v>115</v>
      </c>
      <c r="N97" s="116" t="s">
        <v>320</v>
      </c>
      <c r="O97" s="132">
        <v>50</v>
      </c>
      <c r="P97" s="117">
        <v>1</v>
      </c>
      <c r="Q97" s="116" t="s">
        <v>321</v>
      </c>
      <c r="R97" s="132">
        <v>28</v>
      </c>
      <c r="S97" s="117">
        <v>5</v>
      </c>
      <c r="T97" s="132">
        <v>47</v>
      </c>
      <c r="U97" s="115">
        <v>1</v>
      </c>
      <c r="V97" s="130">
        <f t="shared" si="42"/>
        <v>290</v>
      </c>
      <c r="W97" s="118">
        <f t="shared" si="43"/>
        <v>94</v>
      </c>
      <c r="Y97" s="44"/>
      <c r="Z97" s="44"/>
    </row>
    <row r="98" spans="1:26" ht="24.9" customHeight="1" x14ac:dyDescent="0.3">
      <c r="A98" s="131">
        <v>5</v>
      </c>
      <c r="B98" s="131">
        <v>6</v>
      </c>
      <c r="C98" s="131" t="s">
        <v>169</v>
      </c>
      <c r="D98" s="116" t="s">
        <v>318</v>
      </c>
      <c r="E98" s="132">
        <v>67</v>
      </c>
      <c r="F98" s="115">
        <v>4</v>
      </c>
      <c r="G98" s="116" t="s">
        <v>319</v>
      </c>
      <c r="H98" s="132">
        <v>39</v>
      </c>
      <c r="I98" s="115">
        <v>5</v>
      </c>
      <c r="J98" s="132">
        <v>59</v>
      </c>
      <c r="K98" s="115">
        <v>5</v>
      </c>
      <c r="L98" s="114">
        <f t="shared" si="41"/>
        <v>165</v>
      </c>
      <c r="M98" s="127">
        <f t="shared" si="40"/>
        <v>115</v>
      </c>
      <c r="N98" s="116" t="s">
        <v>320</v>
      </c>
      <c r="O98" s="132">
        <v>44.5</v>
      </c>
      <c r="P98" s="117">
        <v>3</v>
      </c>
      <c r="Q98" s="116" t="s">
        <v>321</v>
      </c>
      <c r="R98" s="132">
        <v>41.5</v>
      </c>
      <c r="S98" s="117">
        <v>3</v>
      </c>
      <c r="T98" s="132">
        <v>36</v>
      </c>
      <c r="U98" s="115">
        <v>2</v>
      </c>
      <c r="V98" s="130">
        <f t="shared" si="42"/>
        <v>287</v>
      </c>
      <c r="W98" s="118">
        <f t="shared" si="43"/>
        <v>95</v>
      </c>
    </row>
    <row r="99" spans="1:26" ht="24.9" customHeight="1" x14ac:dyDescent="0.3">
      <c r="A99" s="131">
        <v>1</v>
      </c>
      <c r="B99" s="131">
        <v>17</v>
      </c>
      <c r="C99" s="131" t="s">
        <v>170</v>
      </c>
      <c r="D99" s="116" t="s">
        <v>318</v>
      </c>
      <c r="E99" s="132">
        <v>64</v>
      </c>
      <c r="F99" s="115">
        <v>4</v>
      </c>
      <c r="G99" s="116" t="s">
        <v>319</v>
      </c>
      <c r="H99" s="132">
        <v>39</v>
      </c>
      <c r="I99" s="115">
        <v>5</v>
      </c>
      <c r="J99" s="132">
        <v>59</v>
      </c>
      <c r="K99" s="115">
        <v>5</v>
      </c>
      <c r="L99" s="114">
        <f t="shared" si="41"/>
        <v>162</v>
      </c>
      <c r="M99" s="127">
        <f t="shared" si="40"/>
        <v>127</v>
      </c>
      <c r="N99" s="116" t="s">
        <v>320</v>
      </c>
      <c r="O99" s="132">
        <v>40.5</v>
      </c>
      <c r="P99" s="117">
        <v>4</v>
      </c>
      <c r="Q99" s="116" t="s">
        <v>321</v>
      </c>
      <c r="R99" s="132">
        <v>45</v>
      </c>
      <c r="S99" s="117">
        <v>2</v>
      </c>
      <c r="T99" s="132">
        <v>39</v>
      </c>
      <c r="U99" s="115">
        <v>2</v>
      </c>
      <c r="V99" s="130">
        <f t="shared" si="42"/>
        <v>286.5</v>
      </c>
      <c r="W99" s="118">
        <f t="shared" si="43"/>
        <v>96</v>
      </c>
    </row>
    <row r="100" spans="1:26" ht="24.9" customHeight="1" x14ac:dyDescent="0.3">
      <c r="A100" s="131">
        <v>6</v>
      </c>
      <c r="B100" s="131">
        <v>14</v>
      </c>
      <c r="C100" s="131" t="s">
        <v>171</v>
      </c>
      <c r="D100" s="116" t="s">
        <v>318</v>
      </c>
      <c r="E100" s="132">
        <v>64</v>
      </c>
      <c r="F100" s="115">
        <v>4</v>
      </c>
      <c r="G100" s="116" t="s">
        <v>319</v>
      </c>
      <c r="H100" s="132">
        <v>47</v>
      </c>
      <c r="I100" s="115">
        <v>4</v>
      </c>
      <c r="J100" s="132">
        <v>58</v>
      </c>
      <c r="K100" s="115">
        <v>5</v>
      </c>
      <c r="L100" s="114">
        <f t="shared" si="41"/>
        <v>169</v>
      </c>
      <c r="M100" s="127">
        <f t="shared" si="40"/>
        <v>104</v>
      </c>
      <c r="N100" s="116" t="s">
        <v>320</v>
      </c>
      <c r="O100" s="132">
        <v>46</v>
      </c>
      <c r="P100" s="117">
        <v>3</v>
      </c>
      <c r="Q100" s="116" t="s">
        <v>321</v>
      </c>
      <c r="R100" s="132">
        <v>34</v>
      </c>
      <c r="S100" s="117">
        <v>4</v>
      </c>
      <c r="T100" s="132">
        <v>37</v>
      </c>
      <c r="U100" s="115">
        <v>2</v>
      </c>
      <c r="V100" s="130">
        <f t="shared" si="42"/>
        <v>286</v>
      </c>
      <c r="W100" s="118">
        <f t="shared" si="43"/>
        <v>97</v>
      </c>
    </row>
    <row r="101" spans="1:26" ht="24.9" customHeight="1" x14ac:dyDescent="0.3">
      <c r="A101" s="131">
        <v>10</v>
      </c>
      <c r="B101" s="131">
        <v>18</v>
      </c>
      <c r="C101" s="131" t="s">
        <v>172</v>
      </c>
      <c r="D101" s="116" t="s">
        <v>318</v>
      </c>
      <c r="E101" s="132">
        <v>69</v>
      </c>
      <c r="F101" s="115">
        <v>4</v>
      </c>
      <c r="G101" s="116" t="s">
        <v>319</v>
      </c>
      <c r="H101" s="132">
        <v>30</v>
      </c>
      <c r="I101" s="115">
        <v>6</v>
      </c>
      <c r="J101" s="132">
        <v>60</v>
      </c>
      <c r="K101" s="115">
        <v>4</v>
      </c>
      <c r="L101" s="114">
        <f t="shared" si="41"/>
        <v>159</v>
      </c>
      <c r="M101" s="127">
        <f t="shared" si="40"/>
        <v>133</v>
      </c>
      <c r="N101" s="116" t="s">
        <v>320</v>
      </c>
      <c r="O101" s="132">
        <v>45</v>
      </c>
      <c r="P101" s="117">
        <v>3</v>
      </c>
      <c r="Q101" s="116" t="s">
        <v>321</v>
      </c>
      <c r="R101" s="132">
        <v>39.5</v>
      </c>
      <c r="S101" s="117">
        <v>3</v>
      </c>
      <c r="T101" s="132">
        <v>42</v>
      </c>
      <c r="U101" s="115">
        <v>1</v>
      </c>
      <c r="V101" s="130">
        <f t="shared" si="42"/>
        <v>285.5</v>
      </c>
      <c r="W101" s="118">
        <f t="shared" si="43"/>
        <v>98</v>
      </c>
    </row>
    <row r="102" spans="1:26" ht="24.9" customHeight="1" x14ac:dyDescent="0.3">
      <c r="A102" s="131">
        <v>7</v>
      </c>
      <c r="B102" s="131">
        <v>13</v>
      </c>
      <c r="C102" s="131" t="s">
        <v>173</v>
      </c>
      <c r="D102" s="116" t="s">
        <v>318</v>
      </c>
      <c r="E102" s="132">
        <v>60</v>
      </c>
      <c r="F102" s="115">
        <v>5</v>
      </c>
      <c r="G102" s="116" t="s">
        <v>319</v>
      </c>
      <c r="H102" s="132">
        <v>51</v>
      </c>
      <c r="I102" s="115">
        <v>4</v>
      </c>
      <c r="J102" s="132">
        <v>58</v>
      </c>
      <c r="K102" s="115">
        <v>5</v>
      </c>
      <c r="L102" s="114">
        <f t="shared" si="41"/>
        <v>169</v>
      </c>
      <c r="M102" s="127">
        <f t="shared" si="40"/>
        <v>104</v>
      </c>
      <c r="N102" s="116" t="s">
        <v>320</v>
      </c>
      <c r="O102" s="132">
        <v>43.5</v>
      </c>
      <c r="P102" s="117">
        <v>3</v>
      </c>
      <c r="Q102" s="116" t="s">
        <v>321</v>
      </c>
      <c r="R102" s="132">
        <v>31.5</v>
      </c>
      <c r="S102" s="117">
        <v>4</v>
      </c>
      <c r="T102" s="132">
        <v>40</v>
      </c>
      <c r="U102" s="115">
        <v>1</v>
      </c>
      <c r="V102" s="130">
        <f t="shared" si="42"/>
        <v>284</v>
      </c>
      <c r="W102" s="118">
        <f t="shared" si="43"/>
        <v>99</v>
      </c>
      <c r="Y102" s="44"/>
      <c r="Z102" s="44"/>
    </row>
    <row r="103" spans="1:26" ht="24.9" customHeight="1" x14ac:dyDescent="0.3">
      <c r="A103" s="131">
        <v>10</v>
      </c>
      <c r="B103" s="131">
        <v>14</v>
      </c>
      <c r="C103" s="131" t="s">
        <v>174</v>
      </c>
      <c r="D103" s="116" t="s">
        <v>318</v>
      </c>
      <c r="E103" s="132">
        <v>76</v>
      </c>
      <c r="F103" s="115">
        <v>3</v>
      </c>
      <c r="G103" s="116" t="s">
        <v>319</v>
      </c>
      <c r="H103" s="132">
        <v>37</v>
      </c>
      <c r="I103" s="115">
        <v>5</v>
      </c>
      <c r="J103" s="132">
        <v>66</v>
      </c>
      <c r="K103" s="115">
        <v>4</v>
      </c>
      <c r="L103" s="114">
        <f t="shared" si="41"/>
        <v>179</v>
      </c>
      <c r="M103" s="127">
        <f t="shared" si="40"/>
        <v>83</v>
      </c>
      <c r="N103" s="116" t="s">
        <v>320</v>
      </c>
      <c r="O103" s="132">
        <v>39</v>
      </c>
      <c r="P103" s="117">
        <v>4</v>
      </c>
      <c r="Q103" s="116" t="s">
        <v>321</v>
      </c>
      <c r="R103" s="132">
        <v>39</v>
      </c>
      <c r="S103" s="117">
        <v>3</v>
      </c>
      <c r="T103" s="132">
        <v>26</v>
      </c>
      <c r="U103" s="115">
        <v>4</v>
      </c>
      <c r="V103" s="130">
        <f t="shared" si="42"/>
        <v>283</v>
      </c>
      <c r="W103" s="118">
        <f t="shared" si="43"/>
        <v>100</v>
      </c>
    </row>
    <row r="104" spans="1:26" ht="24.9" customHeight="1" x14ac:dyDescent="0.3">
      <c r="A104" s="131">
        <v>4</v>
      </c>
      <c r="B104" s="131">
        <v>5</v>
      </c>
      <c r="C104" s="131" t="s">
        <v>175</v>
      </c>
      <c r="D104" s="116" t="s">
        <v>318</v>
      </c>
      <c r="E104" s="132">
        <v>67</v>
      </c>
      <c r="F104" s="115">
        <v>4</v>
      </c>
      <c r="G104" s="116" t="s">
        <v>319</v>
      </c>
      <c r="H104" s="132">
        <v>40</v>
      </c>
      <c r="I104" s="115">
        <v>5</v>
      </c>
      <c r="J104" s="132">
        <v>70</v>
      </c>
      <c r="K104" s="115">
        <v>3</v>
      </c>
      <c r="L104" s="114">
        <f t="shared" si="41"/>
        <v>177</v>
      </c>
      <c r="M104" s="127">
        <f t="shared" si="40"/>
        <v>86</v>
      </c>
      <c r="N104" s="116" t="s">
        <v>320</v>
      </c>
      <c r="O104" s="132">
        <v>45</v>
      </c>
      <c r="P104" s="117">
        <v>3</v>
      </c>
      <c r="Q104" s="116" t="s">
        <v>321</v>
      </c>
      <c r="R104" s="132">
        <v>24.5</v>
      </c>
      <c r="S104" s="117">
        <v>5</v>
      </c>
      <c r="T104" s="132">
        <v>36</v>
      </c>
      <c r="U104" s="115">
        <v>2</v>
      </c>
      <c r="V104" s="130">
        <f t="shared" si="42"/>
        <v>282.5</v>
      </c>
      <c r="W104" s="118">
        <f t="shared" si="43"/>
        <v>101</v>
      </c>
    </row>
    <row r="105" spans="1:26" ht="24.9" customHeight="1" x14ac:dyDescent="0.3">
      <c r="A105" s="131">
        <v>9</v>
      </c>
      <c r="B105" s="131">
        <v>19</v>
      </c>
      <c r="C105" s="131" t="s">
        <v>176</v>
      </c>
      <c r="D105" s="116" t="s">
        <v>318</v>
      </c>
      <c r="E105" s="132">
        <v>54</v>
      </c>
      <c r="F105" s="115">
        <v>5</v>
      </c>
      <c r="G105" s="116" t="s">
        <v>319</v>
      </c>
      <c r="H105" s="132">
        <v>48</v>
      </c>
      <c r="I105" s="115">
        <v>4</v>
      </c>
      <c r="J105" s="132">
        <v>68</v>
      </c>
      <c r="K105" s="115">
        <v>4</v>
      </c>
      <c r="L105" s="114">
        <f t="shared" si="41"/>
        <v>170</v>
      </c>
      <c r="M105" s="127">
        <f t="shared" si="40"/>
        <v>101</v>
      </c>
      <c r="N105" s="116" t="s">
        <v>320</v>
      </c>
      <c r="O105" s="132">
        <v>41.5</v>
      </c>
      <c r="P105" s="117">
        <v>4</v>
      </c>
      <c r="Q105" s="116" t="s">
        <v>321</v>
      </c>
      <c r="R105" s="132">
        <v>35</v>
      </c>
      <c r="S105" s="117">
        <v>4</v>
      </c>
      <c r="T105" s="132">
        <v>35</v>
      </c>
      <c r="U105" s="115">
        <v>2</v>
      </c>
      <c r="V105" s="130">
        <f t="shared" si="42"/>
        <v>281.5</v>
      </c>
      <c r="W105" s="118">
        <f t="shared" si="43"/>
        <v>102</v>
      </c>
    </row>
    <row r="106" spans="1:26" ht="24.9" customHeight="1" x14ac:dyDescent="0.3">
      <c r="A106" s="131">
        <v>9</v>
      </c>
      <c r="B106" s="131">
        <v>21</v>
      </c>
      <c r="C106" s="131" t="s">
        <v>177</v>
      </c>
      <c r="D106" s="116" t="s">
        <v>318</v>
      </c>
      <c r="E106" s="132">
        <v>54</v>
      </c>
      <c r="F106" s="115">
        <v>5</v>
      </c>
      <c r="G106" s="116" t="s">
        <v>319</v>
      </c>
      <c r="H106" s="132">
        <v>57</v>
      </c>
      <c r="I106" s="115">
        <v>3</v>
      </c>
      <c r="J106" s="132">
        <v>51</v>
      </c>
      <c r="K106" s="115">
        <v>5</v>
      </c>
      <c r="L106" s="114">
        <f t="shared" si="41"/>
        <v>162</v>
      </c>
      <c r="M106" s="127">
        <f t="shared" si="40"/>
        <v>127</v>
      </c>
      <c r="N106" s="116" t="s">
        <v>320</v>
      </c>
      <c r="O106" s="132">
        <v>46</v>
      </c>
      <c r="P106" s="117">
        <v>3</v>
      </c>
      <c r="Q106" s="116" t="s">
        <v>321</v>
      </c>
      <c r="R106" s="132">
        <v>33</v>
      </c>
      <c r="S106" s="117">
        <v>4</v>
      </c>
      <c r="T106" s="132">
        <v>39</v>
      </c>
      <c r="U106" s="115">
        <v>2</v>
      </c>
      <c r="V106" s="130">
        <f t="shared" si="42"/>
        <v>280</v>
      </c>
      <c r="W106" s="118">
        <f t="shared" si="43"/>
        <v>103</v>
      </c>
    </row>
    <row r="107" spans="1:26" ht="24.9" customHeight="1" x14ac:dyDescent="0.3">
      <c r="A107" s="131">
        <v>5</v>
      </c>
      <c r="B107" s="131">
        <v>12</v>
      </c>
      <c r="C107" s="131" t="s">
        <v>178</v>
      </c>
      <c r="D107" s="116" t="s">
        <v>318</v>
      </c>
      <c r="E107" s="132">
        <v>57</v>
      </c>
      <c r="F107" s="115">
        <v>5</v>
      </c>
      <c r="G107" s="116" t="s">
        <v>319</v>
      </c>
      <c r="H107" s="132">
        <v>49</v>
      </c>
      <c r="I107" s="115">
        <v>4</v>
      </c>
      <c r="J107" s="132">
        <v>71</v>
      </c>
      <c r="K107" s="115">
        <v>3</v>
      </c>
      <c r="L107" s="114">
        <f t="shared" si="41"/>
        <v>177</v>
      </c>
      <c r="M107" s="127">
        <f t="shared" si="40"/>
        <v>86</v>
      </c>
      <c r="N107" s="116" t="s">
        <v>320</v>
      </c>
      <c r="O107" s="132">
        <v>34.5</v>
      </c>
      <c r="P107" s="117">
        <v>5</v>
      </c>
      <c r="Q107" s="116" t="s">
        <v>321</v>
      </c>
      <c r="R107" s="132">
        <v>40</v>
      </c>
      <c r="S107" s="117">
        <v>3</v>
      </c>
      <c r="T107" s="132">
        <v>27</v>
      </c>
      <c r="U107" s="115">
        <v>4</v>
      </c>
      <c r="V107" s="130">
        <f t="shared" si="42"/>
        <v>278.5</v>
      </c>
      <c r="W107" s="118">
        <f t="shared" si="43"/>
        <v>104</v>
      </c>
    </row>
    <row r="108" spans="1:26" ht="24.9" customHeight="1" x14ac:dyDescent="0.3">
      <c r="A108" s="131">
        <v>10</v>
      </c>
      <c r="B108" s="131">
        <v>9</v>
      </c>
      <c r="C108" s="131" t="s">
        <v>179</v>
      </c>
      <c r="D108" s="116" t="s">
        <v>318</v>
      </c>
      <c r="E108" s="132">
        <v>65</v>
      </c>
      <c r="F108" s="115">
        <v>4</v>
      </c>
      <c r="G108" s="116" t="s">
        <v>319</v>
      </c>
      <c r="H108" s="132">
        <v>42</v>
      </c>
      <c r="I108" s="115">
        <v>5</v>
      </c>
      <c r="J108" s="132">
        <v>50</v>
      </c>
      <c r="K108" s="115">
        <v>5</v>
      </c>
      <c r="L108" s="114">
        <f t="shared" si="41"/>
        <v>157</v>
      </c>
      <c r="M108" s="127">
        <f t="shared" si="40"/>
        <v>139</v>
      </c>
      <c r="N108" s="116" t="s">
        <v>320</v>
      </c>
      <c r="O108" s="132">
        <v>46</v>
      </c>
      <c r="P108" s="117">
        <v>3</v>
      </c>
      <c r="Q108" s="116" t="s">
        <v>321</v>
      </c>
      <c r="R108" s="132">
        <v>31</v>
      </c>
      <c r="S108" s="117">
        <v>4</v>
      </c>
      <c r="T108" s="132">
        <v>43</v>
      </c>
      <c r="U108" s="115">
        <v>1</v>
      </c>
      <c r="V108" s="130">
        <f t="shared" si="42"/>
        <v>277</v>
      </c>
      <c r="W108" s="118">
        <f t="shared" si="43"/>
        <v>105</v>
      </c>
    </row>
    <row r="109" spans="1:26" ht="24.9" customHeight="1" x14ac:dyDescent="0.3">
      <c r="A109" s="131">
        <v>8</v>
      </c>
      <c r="B109" s="131">
        <v>3</v>
      </c>
      <c r="C109" s="131" t="s">
        <v>27</v>
      </c>
      <c r="D109" s="116" t="s">
        <v>318</v>
      </c>
      <c r="E109" s="132">
        <v>62</v>
      </c>
      <c r="F109" s="115">
        <v>4</v>
      </c>
      <c r="G109" s="116" t="s">
        <v>319</v>
      </c>
      <c r="H109" s="132">
        <v>30</v>
      </c>
      <c r="I109" s="115">
        <v>6</v>
      </c>
      <c r="J109" s="132">
        <v>84</v>
      </c>
      <c r="K109" s="115">
        <v>2</v>
      </c>
      <c r="L109" s="114">
        <f t="shared" si="41"/>
        <v>176</v>
      </c>
      <c r="M109" s="127">
        <f t="shared" si="40"/>
        <v>90</v>
      </c>
      <c r="N109" s="116" t="s">
        <v>320</v>
      </c>
      <c r="O109" s="132">
        <v>32</v>
      </c>
      <c r="P109" s="117">
        <v>5</v>
      </c>
      <c r="Q109" s="116" t="s">
        <v>321</v>
      </c>
      <c r="R109" s="132">
        <v>39.5</v>
      </c>
      <c r="S109" s="117">
        <v>3</v>
      </c>
      <c r="T109" s="132">
        <v>29</v>
      </c>
      <c r="U109" s="115">
        <v>4</v>
      </c>
      <c r="V109" s="130">
        <f t="shared" si="42"/>
        <v>276.5</v>
      </c>
      <c r="W109" s="118">
        <f t="shared" si="43"/>
        <v>106</v>
      </c>
    </row>
    <row r="110" spans="1:26" ht="24.9" customHeight="1" x14ac:dyDescent="0.3">
      <c r="A110" s="131">
        <v>3</v>
      </c>
      <c r="B110" s="131">
        <v>10</v>
      </c>
      <c r="C110" s="131" t="s">
        <v>180</v>
      </c>
      <c r="D110" s="116" t="s">
        <v>318</v>
      </c>
      <c r="E110" s="132">
        <v>38</v>
      </c>
      <c r="F110" s="115">
        <v>6</v>
      </c>
      <c r="G110" s="116" t="s">
        <v>319</v>
      </c>
      <c r="H110" s="132">
        <v>53</v>
      </c>
      <c r="I110" s="115">
        <v>4</v>
      </c>
      <c r="J110" s="132">
        <v>60</v>
      </c>
      <c r="K110" s="115">
        <v>4</v>
      </c>
      <c r="L110" s="114">
        <f t="shared" si="41"/>
        <v>151</v>
      </c>
      <c r="M110" s="127">
        <f t="shared" si="40"/>
        <v>152</v>
      </c>
      <c r="N110" s="116" t="s">
        <v>320</v>
      </c>
      <c r="O110" s="132">
        <v>36</v>
      </c>
      <c r="P110" s="117">
        <v>5</v>
      </c>
      <c r="Q110" s="116" t="s">
        <v>321</v>
      </c>
      <c r="R110" s="132">
        <v>44</v>
      </c>
      <c r="S110" s="117">
        <v>3</v>
      </c>
      <c r="T110" s="132">
        <v>45</v>
      </c>
      <c r="U110" s="115">
        <v>1</v>
      </c>
      <c r="V110" s="130">
        <f t="shared" si="42"/>
        <v>276</v>
      </c>
      <c r="W110" s="118">
        <f t="shared" si="43"/>
        <v>107</v>
      </c>
    </row>
    <row r="111" spans="1:26" ht="24.9" customHeight="1" x14ac:dyDescent="0.3">
      <c r="A111" s="131">
        <v>5</v>
      </c>
      <c r="B111" s="131">
        <v>15</v>
      </c>
      <c r="C111" s="131" t="s">
        <v>34</v>
      </c>
      <c r="D111" s="116" t="s">
        <v>318</v>
      </c>
      <c r="E111" s="132">
        <v>66</v>
      </c>
      <c r="F111" s="115">
        <v>4</v>
      </c>
      <c r="G111" s="116" t="s">
        <v>319</v>
      </c>
      <c r="H111" s="132">
        <v>42</v>
      </c>
      <c r="I111" s="115">
        <v>5</v>
      </c>
      <c r="J111" s="132">
        <v>55</v>
      </c>
      <c r="K111" s="115">
        <v>5</v>
      </c>
      <c r="L111" s="114">
        <f t="shared" si="41"/>
        <v>163</v>
      </c>
      <c r="M111" s="127">
        <f t="shared" si="40"/>
        <v>124</v>
      </c>
      <c r="N111" s="116" t="s">
        <v>320</v>
      </c>
      <c r="O111" s="132">
        <v>47.5</v>
      </c>
      <c r="P111" s="117">
        <v>2</v>
      </c>
      <c r="Q111" s="116" t="s">
        <v>321</v>
      </c>
      <c r="R111" s="132">
        <v>25</v>
      </c>
      <c r="S111" s="117">
        <v>5</v>
      </c>
      <c r="T111" s="132">
        <v>40</v>
      </c>
      <c r="U111" s="115">
        <v>1</v>
      </c>
      <c r="V111" s="130">
        <f t="shared" si="42"/>
        <v>275.5</v>
      </c>
      <c r="W111" s="118">
        <f t="shared" si="43"/>
        <v>108</v>
      </c>
    </row>
    <row r="112" spans="1:26" ht="24.9" customHeight="1" x14ac:dyDescent="0.3">
      <c r="A112" s="131">
        <v>4</v>
      </c>
      <c r="B112" s="131">
        <v>11</v>
      </c>
      <c r="C112" s="131" t="s">
        <v>181</v>
      </c>
      <c r="D112" s="116" t="s">
        <v>318</v>
      </c>
      <c r="E112" s="132">
        <v>39</v>
      </c>
      <c r="F112" s="115">
        <v>6</v>
      </c>
      <c r="G112" s="116" t="s">
        <v>319</v>
      </c>
      <c r="H112" s="132">
        <v>50</v>
      </c>
      <c r="I112" s="115">
        <v>4</v>
      </c>
      <c r="J112" s="132">
        <v>78</v>
      </c>
      <c r="K112" s="115">
        <v>3</v>
      </c>
      <c r="L112" s="114">
        <f t="shared" si="41"/>
        <v>167</v>
      </c>
      <c r="M112" s="127">
        <f t="shared" si="40"/>
        <v>109</v>
      </c>
      <c r="N112" s="116" t="s">
        <v>320</v>
      </c>
      <c r="O112" s="132">
        <v>47.5</v>
      </c>
      <c r="P112" s="117">
        <v>2</v>
      </c>
      <c r="Q112" s="116" t="s">
        <v>321</v>
      </c>
      <c r="R112" s="132">
        <v>35.5</v>
      </c>
      <c r="S112" s="117">
        <v>4</v>
      </c>
      <c r="T112" s="132">
        <v>25</v>
      </c>
      <c r="U112" s="115">
        <v>4</v>
      </c>
      <c r="V112" s="130">
        <f t="shared" si="42"/>
        <v>275</v>
      </c>
      <c r="W112" s="118">
        <f t="shared" si="43"/>
        <v>109</v>
      </c>
      <c r="Y112" s="44"/>
      <c r="Z112" s="44"/>
    </row>
    <row r="113" spans="1:23" ht="24.9" customHeight="1" x14ac:dyDescent="0.3">
      <c r="A113" s="131">
        <v>3</v>
      </c>
      <c r="B113" s="131">
        <v>2</v>
      </c>
      <c r="C113" s="131" t="s">
        <v>182</v>
      </c>
      <c r="D113" s="116" t="s">
        <v>318</v>
      </c>
      <c r="E113" s="132">
        <v>75</v>
      </c>
      <c r="F113" s="115">
        <v>3</v>
      </c>
      <c r="G113" s="116" t="s">
        <v>319</v>
      </c>
      <c r="H113" s="132">
        <v>12</v>
      </c>
      <c r="I113" s="115">
        <v>8</v>
      </c>
      <c r="J113" s="132">
        <v>68</v>
      </c>
      <c r="K113" s="115">
        <v>4</v>
      </c>
      <c r="L113" s="114">
        <f t="shared" si="41"/>
        <v>155</v>
      </c>
      <c r="M113" s="127">
        <f t="shared" si="40"/>
        <v>142</v>
      </c>
      <c r="N113" s="116" t="s">
        <v>320</v>
      </c>
      <c r="O113" s="132">
        <v>47.5</v>
      </c>
      <c r="P113" s="117">
        <v>2</v>
      </c>
      <c r="Q113" s="116" t="s">
        <v>321</v>
      </c>
      <c r="R113" s="132">
        <v>28</v>
      </c>
      <c r="S113" s="117">
        <v>5</v>
      </c>
      <c r="T113" s="132">
        <v>43</v>
      </c>
      <c r="U113" s="115">
        <v>1</v>
      </c>
      <c r="V113" s="130">
        <f t="shared" si="42"/>
        <v>273.5</v>
      </c>
      <c r="W113" s="118">
        <f t="shared" si="43"/>
        <v>110</v>
      </c>
    </row>
    <row r="114" spans="1:23" ht="24.9" customHeight="1" x14ac:dyDescent="0.3">
      <c r="A114" s="131">
        <v>9</v>
      </c>
      <c r="B114" s="131">
        <v>20</v>
      </c>
      <c r="C114" s="131" t="s">
        <v>183</v>
      </c>
      <c r="D114" s="116" t="s">
        <v>318</v>
      </c>
      <c r="E114" s="132">
        <v>47</v>
      </c>
      <c r="F114" s="115">
        <v>5</v>
      </c>
      <c r="G114" s="116" t="s">
        <v>319</v>
      </c>
      <c r="H114" s="132">
        <v>56</v>
      </c>
      <c r="I114" s="115">
        <v>3</v>
      </c>
      <c r="J114" s="132">
        <v>47</v>
      </c>
      <c r="K114" s="115">
        <v>6</v>
      </c>
      <c r="L114" s="114">
        <f t="shared" si="41"/>
        <v>150</v>
      </c>
      <c r="M114" s="127">
        <f t="shared" si="40"/>
        <v>154</v>
      </c>
      <c r="N114" s="116" t="s">
        <v>320</v>
      </c>
      <c r="O114" s="132">
        <v>43.5</v>
      </c>
      <c r="P114" s="117">
        <v>3</v>
      </c>
      <c r="Q114" s="116" t="s">
        <v>321</v>
      </c>
      <c r="R114" s="132">
        <v>39</v>
      </c>
      <c r="S114" s="117">
        <v>3</v>
      </c>
      <c r="T114" s="132">
        <v>41</v>
      </c>
      <c r="U114" s="115">
        <v>1</v>
      </c>
      <c r="V114" s="130">
        <f t="shared" si="42"/>
        <v>273.5</v>
      </c>
      <c r="W114" s="118">
        <f t="shared" si="43"/>
        <v>110</v>
      </c>
    </row>
    <row r="115" spans="1:23" ht="24.9" customHeight="1" x14ac:dyDescent="0.3">
      <c r="A115" s="131">
        <v>10</v>
      </c>
      <c r="B115" s="131">
        <v>24</v>
      </c>
      <c r="C115" s="131" t="s">
        <v>184</v>
      </c>
      <c r="D115" s="116" t="s">
        <v>318</v>
      </c>
      <c r="E115" s="132">
        <v>67</v>
      </c>
      <c r="F115" s="115">
        <v>4</v>
      </c>
      <c r="G115" s="116" t="s">
        <v>319</v>
      </c>
      <c r="H115" s="132">
        <v>36</v>
      </c>
      <c r="I115" s="115">
        <v>5</v>
      </c>
      <c r="J115" s="132">
        <v>63</v>
      </c>
      <c r="K115" s="115">
        <v>4</v>
      </c>
      <c r="L115" s="114">
        <f t="shared" si="41"/>
        <v>166</v>
      </c>
      <c r="M115" s="127">
        <f t="shared" si="40"/>
        <v>112</v>
      </c>
      <c r="N115" s="116" t="s">
        <v>320</v>
      </c>
      <c r="O115" s="132">
        <v>36.5</v>
      </c>
      <c r="P115" s="117">
        <v>5</v>
      </c>
      <c r="Q115" s="116" t="s">
        <v>321</v>
      </c>
      <c r="R115" s="132">
        <v>46</v>
      </c>
      <c r="S115" s="117">
        <v>2</v>
      </c>
      <c r="T115" s="132">
        <v>24</v>
      </c>
      <c r="U115" s="115">
        <v>5</v>
      </c>
      <c r="V115" s="130">
        <f t="shared" si="42"/>
        <v>272.5</v>
      </c>
      <c r="W115" s="118">
        <f t="shared" si="43"/>
        <v>112</v>
      </c>
    </row>
    <row r="116" spans="1:23" ht="24.9" customHeight="1" x14ac:dyDescent="0.3">
      <c r="A116" s="131">
        <v>8</v>
      </c>
      <c r="B116" s="131">
        <v>27</v>
      </c>
      <c r="C116" s="131" t="s">
        <v>185</v>
      </c>
      <c r="D116" s="116" t="s">
        <v>318</v>
      </c>
      <c r="E116" s="132">
        <v>57</v>
      </c>
      <c r="F116" s="115">
        <v>5</v>
      </c>
      <c r="G116" s="116" t="s">
        <v>319</v>
      </c>
      <c r="H116" s="132">
        <v>35</v>
      </c>
      <c r="I116" s="115">
        <v>5</v>
      </c>
      <c r="J116" s="132">
        <v>73</v>
      </c>
      <c r="K116" s="115">
        <v>3</v>
      </c>
      <c r="L116" s="114">
        <f t="shared" si="41"/>
        <v>165</v>
      </c>
      <c r="M116" s="127">
        <f t="shared" si="40"/>
        <v>115</v>
      </c>
      <c r="N116" s="116" t="s">
        <v>320</v>
      </c>
      <c r="O116" s="132">
        <v>45.5</v>
      </c>
      <c r="P116" s="117">
        <v>3</v>
      </c>
      <c r="Q116" s="116" t="s">
        <v>321</v>
      </c>
      <c r="R116" s="132">
        <v>24.5</v>
      </c>
      <c r="S116" s="117">
        <v>5</v>
      </c>
      <c r="T116" s="132">
        <v>36</v>
      </c>
      <c r="U116" s="115">
        <v>2</v>
      </c>
      <c r="V116" s="130">
        <f t="shared" si="42"/>
        <v>271</v>
      </c>
      <c r="W116" s="118">
        <f t="shared" si="43"/>
        <v>113</v>
      </c>
    </row>
    <row r="117" spans="1:23" ht="24.9" customHeight="1" x14ac:dyDescent="0.3">
      <c r="A117" s="131">
        <v>3</v>
      </c>
      <c r="B117" s="131">
        <v>23</v>
      </c>
      <c r="C117" s="131" t="s">
        <v>186</v>
      </c>
      <c r="D117" s="116" t="s">
        <v>318</v>
      </c>
      <c r="E117" s="132">
        <v>55</v>
      </c>
      <c r="F117" s="115">
        <v>5</v>
      </c>
      <c r="G117" s="116" t="s">
        <v>319</v>
      </c>
      <c r="H117" s="132">
        <v>41</v>
      </c>
      <c r="I117" s="115">
        <v>5</v>
      </c>
      <c r="J117" s="132">
        <v>74</v>
      </c>
      <c r="K117" s="115">
        <v>3</v>
      </c>
      <c r="L117" s="114">
        <f t="shared" si="41"/>
        <v>170</v>
      </c>
      <c r="M117" s="127">
        <f t="shared" si="40"/>
        <v>101</v>
      </c>
      <c r="N117" s="116" t="s">
        <v>320</v>
      </c>
      <c r="O117" s="132">
        <v>28.5</v>
      </c>
      <c r="P117" s="117">
        <v>6</v>
      </c>
      <c r="Q117" s="116" t="s">
        <v>321</v>
      </c>
      <c r="R117" s="132">
        <v>24.5</v>
      </c>
      <c r="S117" s="117">
        <v>5</v>
      </c>
      <c r="T117" s="132">
        <v>47</v>
      </c>
      <c r="U117" s="115">
        <v>1</v>
      </c>
      <c r="V117" s="130">
        <f t="shared" si="42"/>
        <v>270</v>
      </c>
      <c r="W117" s="118">
        <f t="shared" si="43"/>
        <v>114</v>
      </c>
    </row>
    <row r="118" spans="1:23" ht="24.9" customHeight="1" x14ac:dyDescent="0.3">
      <c r="A118" s="131">
        <v>7</v>
      </c>
      <c r="B118" s="131">
        <v>24</v>
      </c>
      <c r="C118" s="131" t="s">
        <v>187</v>
      </c>
      <c r="D118" s="116" t="s">
        <v>318</v>
      </c>
      <c r="E118" s="132">
        <v>61</v>
      </c>
      <c r="F118" s="115">
        <v>4</v>
      </c>
      <c r="G118" s="116" t="s">
        <v>319</v>
      </c>
      <c r="H118" s="132">
        <v>30</v>
      </c>
      <c r="I118" s="115">
        <v>6</v>
      </c>
      <c r="J118" s="132">
        <v>73</v>
      </c>
      <c r="K118" s="115">
        <v>3</v>
      </c>
      <c r="L118" s="114">
        <f t="shared" si="41"/>
        <v>164</v>
      </c>
      <c r="M118" s="127">
        <f t="shared" si="40"/>
        <v>120</v>
      </c>
      <c r="N118" s="116" t="s">
        <v>320</v>
      </c>
      <c r="O118" s="132">
        <v>34</v>
      </c>
      <c r="P118" s="117">
        <v>5</v>
      </c>
      <c r="Q118" s="116" t="s">
        <v>321</v>
      </c>
      <c r="R118" s="132">
        <v>40</v>
      </c>
      <c r="S118" s="117">
        <v>3</v>
      </c>
      <c r="T118" s="132">
        <v>32</v>
      </c>
      <c r="U118" s="115">
        <v>3</v>
      </c>
      <c r="V118" s="130">
        <f t="shared" si="42"/>
        <v>270</v>
      </c>
      <c r="W118" s="118">
        <f t="shared" si="43"/>
        <v>114</v>
      </c>
    </row>
    <row r="119" spans="1:23" ht="24.9" customHeight="1" x14ac:dyDescent="0.3">
      <c r="A119" s="131">
        <v>1</v>
      </c>
      <c r="B119" s="131">
        <v>1</v>
      </c>
      <c r="C119" s="131" t="s">
        <v>188</v>
      </c>
      <c r="D119" s="116" t="s">
        <v>318</v>
      </c>
      <c r="E119" s="132">
        <v>64</v>
      </c>
      <c r="F119" s="115">
        <v>4</v>
      </c>
      <c r="G119" s="116" t="s">
        <v>319</v>
      </c>
      <c r="H119" s="132">
        <v>45</v>
      </c>
      <c r="I119" s="115">
        <v>4</v>
      </c>
      <c r="J119" s="132">
        <v>53</v>
      </c>
      <c r="K119" s="115">
        <v>5</v>
      </c>
      <c r="L119" s="114">
        <f t="shared" si="41"/>
        <v>162</v>
      </c>
      <c r="M119" s="127">
        <f t="shared" si="40"/>
        <v>127</v>
      </c>
      <c r="N119" s="116" t="s">
        <v>320</v>
      </c>
      <c r="O119" s="132">
        <v>42</v>
      </c>
      <c r="P119" s="117">
        <v>4</v>
      </c>
      <c r="Q119" s="116" t="s">
        <v>321</v>
      </c>
      <c r="R119" s="132">
        <v>24.5</v>
      </c>
      <c r="S119" s="117">
        <v>5</v>
      </c>
      <c r="T119" s="132">
        <v>41</v>
      </c>
      <c r="U119" s="115">
        <v>1</v>
      </c>
      <c r="V119" s="130">
        <f t="shared" si="42"/>
        <v>269.5</v>
      </c>
      <c r="W119" s="118">
        <f t="shared" si="43"/>
        <v>116</v>
      </c>
    </row>
    <row r="120" spans="1:23" ht="24.9" customHeight="1" x14ac:dyDescent="0.3">
      <c r="A120" s="131">
        <v>9</v>
      </c>
      <c r="B120" s="131">
        <v>23</v>
      </c>
      <c r="C120" s="131" t="s">
        <v>189</v>
      </c>
      <c r="D120" s="116" t="s">
        <v>318</v>
      </c>
      <c r="E120" s="132">
        <v>74</v>
      </c>
      <c r="F120" s="115">
        <v>3</v>
      </c>
      <c r="G120" s="116" t="s">
        <v>319</v>
      </c>
      <c r="H120" s="132">
        <v>37</v>
      </c>
      <c r="I120" s="115">
        <v>5</v>
      </c>
      <c r="J120" s="132">
        <v>58</v>
      </c>
      <c r="K120" s="115">
        <v>5</v>
      </c>
      <c r="L120" s="114">
        <f t="shared" si="41"/>
        <v>169</v>
      </c>
      <c r="M120" s="127">
        <f t="shared" si="40"/>
        <v>104</v>
      </c>
      <c r="N120" s="116" t="s">
        <v>320</v>
      </c>
      <c r="O120" s="132">
        <v>39.5</v>
      </c>
      <c r="P120" s="117">
        <v>4</v>
      </c>
      <c r="Q120" s="116" t="s">
        <v>321</v>
      </c>
      <c r="R120" s="132">
        <v>41</v>
      </c>
      <c r="S120" s="117">
        <v>3</v>
      </c>
      <c r="T120" s="132">
        <v>20</v>
      </c>
      <c r="U120" s="115">
        <v>5</v>
      </c>
      <c r="V120" s="130">
        <f t="shared" si="42"/>
        <v>269.5</v>
      </c>
      <c r="W120" s="118">
        <f t="shared" si="43"/>
        <v>116</v>
      </c>
    </row>
    <row r="121" spans="1:23" ht="24.9" customHeight="1" x14ac:dyDescent="0.3">
      <c r="A121" s="131">
        <v>3</v>
      </c>
      <c r="B121" s="131">
        <v>14</v>
      </c>
      <c r="C121" s="131" t="s">
        <v>190</v>
      </c>
      <c r="D121" s="116" t="s">
        <v>318</v>
      </c>
      <c r="E121" s="132">
        <v>66</v>
      </c>
      <c r="F121" s="115">
        <v>4</v>
      </c>
      <c r="G121" s="116" t="s">
        <v>319</v>
      </c>
      <c r="H121" s="132">
        <v>33</v>
      </c>
      <c r="I121" s="115">
        <v>5</v>
      </c>
      <c r="J121" s="132">
        <v>59</v>
      </c>
      <c r="K121" s="115">
        <v>5</v>
      </c>
      <c r="L121" s="114">
        <f t="shared" si="41"/>
        <v>158</v>
      </c>
      <c r="M121" s="127">
        <f t="shared" si="40"/>
        <v>135</v>
      </c>
      <c r="N121" s="116" t="s">
        <v>320</v>
      </c>
      <c r="O121" s="132">
        <v>37.5</v>
      </c>
      <c r="P121" s="117">
        <v>4</v>
      </c>
      <c r="Q121" s="116" t="s">
        <v>321</v>
      </c>
      <c r="R121" s="132">
        <v>30.5</v>
      </c>
      <c r="S121" s="117">
        <v>4</v>
      </c>
      <c r="T121" s="132">
        <v>40</v>
      </c>
      <c r="U121" s="115">
        <v>1</v>
      </c>
      <c r="V121" s="130">
        <f t="shared" si="42"/>
        <v>266</v>
      </c>
      <c r="W121" s="118">
        <f t="shared" si="43"/>
        <v>118</v>
      </c>
    </row>
    <row r="122" spans="1:23" ht="24.9" customHeight="1" x14ac:dyDescent="0.3">
      <c r="A122" s="131">
        <v>3</v>
      </c>
      <c r="B122" s="131">
        <v>5</v>
      </c>
      <c r="C122" s="131" t="s">
        <v>191</v>
      </c>
      <c r="D122" s="116" t="s">
        <v>318</v>
      </c>
      <c r="E122" s="132">
        <v>60</v>
      </c>
      <c r="F122" s="115">
        <v>5</v>
      </c>
      <c r="G122" s="116" t="s">
        <v>319</v>
      </c>
      <c r="H122" s="132">
        <v>48</v>
      </c>
      <c r="I122" s="115">
        <v>4</v>
      </c>
      <c r="J122" s="132">
        <v>59</v>
      </c>
      <c r="K122" s="115">
        <v>5</v>
      </c>
      <c r="L122" s="114">
        <f t="shared" si="41"/>
        <v>167</v>
      </c>
      <c r="M122" s="127">
        <f t="shared" si="40"/>
        <v>109</v>
      </c>
      <c r="N122" s="116" t="s">
        <v>320</v>
      </c>
      <c r="O122" s="132">
        <v>36</v>
      </c>
      <c r="P122" s="117">
        <v>5</v>
      </c>
      <c r="Q122" s="116" t="s">
        <v>321</v>
      </c>
      <c r="R122" s="132">
        <v>24</v>
      </c>
      <c r="S122" s="117">
        <v>5</v>
      </c>
      <c r="T122" s="132">
        <v>37</v>
      </c>
      <c r="U122" s="115">
        <v>2</v>
      </c>
      <c r="V122" s="130">
        <f t="shared" si="42"/>
        <v>264</v>
      </c>
      <c r="W122" s="118">
        <f t="shared" si="43"/>
        <v>119</v>
      </c>
    </row>
    <row r="123" spans="1:23" ht="24.9" customHeight="1" x14ac:dyDescent="0.3">
      <c r="A123" s="131">
        <v>8</v>
      </c>
      <c r="B123" s="131">
        <v>9</v>
      </c>
      <c r="C123" s="131" t="s">
        <v>192</v>
      </c>
      <c r="D123" s="116" t="s">
        <v>318</v>
      </c>
      <c r="E123" s="132">
        <v>56</v>
      </c>
      <c r="F123" s="115">
        <v>5</v>
      </c>
      <c r="G123" s="116" t="s">
        <v>319</v>
      </c>
      <c r="H123" s="132">
        <v>46</v>
      </c>
      <c r="I123" s="115">
        <v>4</v>
      </c>
      <c r="J123" s="132">
        <v>64</v>
      </c>
      <c r="K123" s="115">
        <v>4</v>
      </c>
      <c r="L123" s="114">
        <f t="shared" si="41"/>
        <v>166</v>
      </c>
      <c r="M123" s="127">
        <f t="shared" si="40"/>
        <v>112</v>
      </c>
      <c r="N123" s="116" t="s">
        <v>320</v>
      </c>
      <c r="O123" s="132">
        <v>43</v>
      </c>
      <c r="P123" s="117">
        <v>3</v>
      </c>
      <c r="Q123" s="116" t="s">
        <v>321</v>
      </c>
      <c r="R123" s="132">
        <v>18</v>
      </c>
      <c r="S123" s="117">
        <v>6</v>
      </c>
      <c r="T123" s="132">
        <v>37</v>
      </c>
      <c r="U123" s="115">
        <v>2</v>
      </c>
      <c r="V123" s="130">
        <f t="shared" si="42"/>
        <v>264</v>
      </c>
      <c r="W123" s="118">
        <f t="shared" si="43"/>
        <v>119</v>
      </c>
    </row>
    <row r="124" spans="1:23" ht="24.9" customHeight="1" x14ac:dyDescent="0.3">
      <c r="A124" s="131">
        <v>6</v>
      </c>
      <c r="B124" s="131">
        <v>3</v>
      </c>
      <c r="C124" s="131" t="s">
        <v>193</v>
      </c>
      <c r="D124" s="116" t="s">
        <v>318</v>
      </c>
      <c r="E124" s="132">
        <v>70</v>
      </c>
      <c r="F124" s="115">
        <v>4</v>
      </c>
      <c r="G124" s="116" t="s">
        <v>319</v>
      </c>
      <c r="H124" s="132">
        <v>45</v>
      </c>
      <c r="I124" s="115">
        <v>4</v>
      </c>
      <c r="J124" s="132">
        <v>59</v>
      </c>
      <c r="K124" s="115">
        <v>5</v>
      </c>
      <c r="L124" s="114">
        <f t="shared" si="41"/>
        <v>174</v>
      </c>
      <c r="M124" s="127">
        <f t="shared" si="40"/>
        <v>94</v>
      </c>
      <c r="N124" s="116" t="s">
        <v>320</v>
      </c>
      <c r="O124" s="132">
        <v>37</v>
      </c>
      <c r="P124" s="117">
        <v>4</v>
      </c>
      <c r="Q124" s="116" t="s">
        <v>321</v>
      </c>
      <c r="R124" s="132">
        <v>28.5</v>
      </c>
      <c r="S124" s="117">
        <v>5</v>
      </c>
      <c r="T124" s="132">
        <v>24</v>
      </c>
      <c r="U124" s="115">
        <v>5</v>
      </c>
      <c r="V124" s="130">
        <f t="shared" si="42"/>
        <v>263.5</v>
      </c>
      <c r="W124" s="118">
        <f t="shared" si="43"/>
        <v>121</v>
      </c>
    </row>
    <row r="125" spans="1:23" ht="24.9" customHeight="1" x14ac:dyDescent="0.3">
      <c r="A125" s="131">
        <v>5</v>
      </c>
      <c r="B125" s="131">
        <v>25</v>
      </c>
      <c r="C125" s="131" t="s">
        <v>194</v>
      </c>
      <c r="D125" s="116" t="s">
        <v>318</v>
      </c>
      <c r="E125" s="132">
        <v>56</v>
      </c>
      <c r="F125" s="115">
        <v>5</v>
      </c>
      <c r="G125" s="116" t="s">
        <v>319</v>
      </c>
      <c r="H125" s="132">
        <v>32</v>
      </c>
      <c r="I125" s="115">
        <v>5</v>
      </c>
      <c r="J125" s="132">
        <v>75</v>
      </c>
      <c r="K125" s="115">
        <v>3</v>
      </c>
      <c r="L125" s="114">
        <f t="shared" si="41"/>
        <v>163</v>
      </c>
      <c r="M125" s="127">
        <f t="shared" si="40"/>
        <v>124</v>
      </c>
      <c r="N125" s="116" t="s">
        <v>320</v>
      </c>
      <c r="O125" s="132">
        <v>33.5</v>
      </c>
      <c r="P125" s="117">
        <v>5</v>
      </c>
      <c r="Q125" s="116" t="s">
        <v>321</v>
      </c>
      <c r="R125" s="132">
        <v>28.5</v>
      </c>
      <c r="S125" s="117">
        <v>5</v>
      </c>
      <c r="T125" s="132">
        <v>38</v>
      </c>
      <c r="U125" s="115">
        <v>2</v>
      </c>
      <c r="V125" s="130">
        <f t="shared" si="42"/>
        <v>263</v>
      </c>
      <c r="W125" s="118">
        <f t="shared" si="43"/>
        <v>122</v>
      </c>
    </row>
    <row r="126" spans="1:23" ht="24.9" customHeight="1" x14ac:dyDescent="0.3">
      <c r="A126" s="131">
        <v>4</v>
      </c>
      <c r="B126" s="131">
        <v>10</v>
      </c>
      <c r="C126" s="131" t="s">
        <v>195</v>
      </c>
      <c r="D126" s="116" t="s">
        <v>318</v>
      </c>
      <c r="E126" s="132">
        <v>47</v>
      </c>
      <c r="F126" s="115">
        <v>5</v>
      </c>
      <c r="G126" s="116" t="s">
        <v>319</v>
      </c>
      <c r="H126" s="132">
        <v>34</v>
      </c>
      <c r="I126" s="115">
        <v>5</v>
      </c>
      <c r="J126" s="132">
        <v>65</v>
      </c>
      <c r="K126" s="115">
        <v>4</v>
      </c>
      <c r="L126" s="114">
        <f t="shared" si="41"/>
        <v>146</v>
      </c>
      <c r="M126" s="127">
        <f t="shared" si="40"/>
        <v>158</v>
      </c>
      <c r="N126" s="116" t="s">
        <v>320</v>
      </c>
      <c r="O126" s="132">
        <v>45.5</v>
      </c>
      <c r="P126" s="117">
        <v>3</v>
      </c>
      <c r="Q126" s="116" t="s">
        <v>321</v>
      </c>
      <c r="R126" s="132">
        <v>35.5</v>
      </c>
      <c r="S126" s="117">
        <v>4</v>
      </c>
      <c r="T126" s="132">
        <v>35</v>
      </c>
      <c r="U126" s="115">
        <v>2</v>
      </c>
      <c r="V126" s="130">
        <f t="shared" si="42"/>
        <v>262</v>
      </c>
      <c r="W126" s="118">
        <f t="shared" si="43"/>
        <v>123</v>
      </c>
    </row>
    <row r="127" spans="1:23" ht="24.9" customHeight="1" x14ac:dyDescent="0.3">
      <c r="A127" s="131">
        <v>1</v>
      </c>
      <c r="B127" s="131">
        <v>23</v>
      </c>
      <c r="C127" s="131" t="s">
        <v>196</v>
      </c>
      <c r="D127" s="116" t="s">
        <v>318</v>
      </c>
      <c r="E127" s="132">
        <v>37</v>
      </c>
      <c r="F127" s="115">
        <v>6</v>
      </c>
      <c r="G127" s="116" t="s">
        <v>319</v>
      </c>
      <c r="H127" s="132">
        <v>48</v>
      </c>
      <c r="I127" s="115">
        <v>4</v>
      </c>
      <c r="J127" s="132">
        <v>74</v>
      </c>
      <c r="K127" s="115">
        <v>3</v>
      </c>
      <c r="L127" s="114">
        <f t="shared" si="41"/>
        <v>159</v>
      </c>
      <c r="M127" s="127">
        <f t="shared" si="40"/>
        <v>133</v>
      </c>
      <c r="N127" s="116" t="s">
        <v>320</v>
      </c>
      <c r="O127" s="132">
        <v>34.5</v>
      </c>
      <c r="P127" s="117">
        <v>5</v>
      </c>
      <c r="Q127" s="116" t="s">
        <v>321</v>
      </c>
      <c r="R127" s="132">
        <v>33</v>
      </c>
      <c r="S127" s="117">
        <v>4</v>
      </c>
      <c r="T127" s="132">
        <v>34</v>
      </c>
      <c r="U127" s="115">
        <v>3</v>
      </c>
      <c r="V127" s="130">
        <f t="shared" si="42"/>
        <v>260.5</v>
      </c>
      <c r="W127" s="118">
        <f t="shared" si="43"/>
        <v>124</v>
      </c>
    </row>
    <row r="128" spans="1:23" ht="24.9" customHeight="1" x14ac:dyDescent="0.3">
      <c r="A128" s="131">
        <v>6</v>
      </c>
      <c r="B128" s="131">
        <v>18</v>
      </c>
      <c r="C128" s="131" t="s">
        <v>197</v>
      </c>
      <c r="D128" s="116" t="s">
        <v>318</v>
      </c>
      <c r="E128" s="132">
        <v>53</v>
      </c>
      <c r="F128" s="115">
        <v>5</v>
      </c>
      <c r="G128" s="116" t="s">
        <v>319</v>
      </c>
      <c r="H128" s="132">
        <v>54</v>
      </c>
      <c r="I128" s="115">
        <v>4</v>
      </c>
      <c r="J128" s="132">
        <v>82</v>
      </c>
      <c r="K128" s="115">
        <v>2</v>
      </c>
      <c r="L128" s="114">
        <f t="shared" si="41"/>
        <v>189</v>
      </c>
      <c r="M128" s="127">
        <f t="shared" si="40"/>
        <v>72</v>
      </c>
      <c r="N128" s="116" t="s">
        <v>320</v>
      </c>
      <c r="O128" s="132">
        <v>36</v>
      </c>
      <c r="P128" s="117">
        <v>5</v>
      </c>
      <c r="Q128" s="116" t="s">
        <v>321</v>
      </c>
      <c r="R128" s="132">
        <v>20</v>
      </c>
      <c r="S128" s="117">
        <v>5</v>
      </c>
      <c r="T128" s="132">
        <v>15</v>
      </c>
      <c r="U128" s="115">
        <v>6</v>
      </c>
      <c r="V128" s="130">
        <f t="shared" si="42"/>
        <v>260</v>
      </c>
      <c r="W128" s="118">
        <f t="shared" si="43"/>
        <v>125</v>
      </c>
    </row>
    <row r="129" spans="1:26" ht="24.9" customHeight="1" x14ac:dyDescent="0.3">
      <c r="A129" s="131">
        <v>1</v>
      </c>
      <c r="B129" s="131">
        <v>25</v>
      </c>
      <c r="C129" s="131" t="s">
        <v>198</v>
      </c>
      <c r="D129" s="116" t="s">
        <v>318</v>
      </c>
      <c r="E129" s="132">
        <v>57</v>
      </c>
      <c r="F129" s="115">
        <v>5</v>
      </c>
      <c r="G129" s="116" t="s">
        <v>319</v>
      </c>
      <c r="H129" s="132">
        <v>30</v>
      </c>
      <c r="I129" s="115">
        <v>6</v>
      </c>
      <c r="J129" s="132">
        <v>65</v>
      </c>
      <c r="K129" s="115">
        <v>4</v>
      </c>
      <c r="L129" s="114">
        <f t="shared" si="41"/>
        <v>152</v>
      </c>
      <c r="M129" s="127">
        <f t="shared" si="40"/>
        <v>149</v>
      </c>
      <c r="N129" s="116" t="s">
        <v>320</v>
      </c>
      <c r="O129" s="132">
        <v>38</v>
      </c>
      <c r="P129" s="117">
        <v>4</v>
      </c>
      <c r="Q129" s="116" t="s">
        <v>321</v>
      </c>
      <c r="R129" s="132">
        <v>36.5</v>
      </c>
      <c r="S129" s="117">
        <v>4</v>
      </c>
      <c r="T129" s="132">
        <v>33</v>
      </c>
      <c r="U129" s="115">
        <v>3</v>
      </c>
      <c r="V129" s="130">
        <f t="shared" si="42"/>
        <v>259.5</v>
      </c>
      <c r="W129" s="118">
        <f t="shared" si="43"/>
        <v>126</v>
      </c>
    </row>
    <row r="130" spans="1:26" ht="24.9" customHeight="1" x14ac:dyDescent="0.3">
      <c r="A130" s="131">
        <v>2</v>
      </c>
      <c r="B130" s="131">
        <v>13</v>
      </c>
      <c r="C130" s="131" t="s">
        <v>199</v>
      </c>
      <c r="D130" s="116" t="s">
        <v>318</v>
      </c>
      <c r="E130" s="132">
        <v>63</v>
      </c>
      <c r="F130" s="115">
        <v>4</v>
      </c>
      <c r="G130" s="116" t="s">
        <v>319</v>
      </c>
      <c r="H130" s="132">
        <v>59</v>
      </c>
      <c r="I130" s="115">
        <v>3</v>
      </c>
      <c r="J130" s="132">
        <v>54</v>
      </c>
      <c r="K130" s="115">
        <v>5</v>
      </c>
      <c r="L130" s="114">
        <f t="shared" si="41"/>
        <v>176</v>
      </c>
      <c r="M130" s="127">
        <f t="shared" si="40"/>
        <v>90</v>
      </c>
      <c r="N130" s="116" t="s">
        <v>320</v>
      </c>
      <c r="O130" s="132">
        <v>37</v>
      </c>
      <c r="P130" s="117">
        <v>4</v>
      </c>
      <c r="Q130" s="116" t="s">
        <v>321</v>
      </c>
      <c r="R130" s="132">
        <v>22.5</v>
      </c>
      <c r="S130" s="117">
        <v>5</v>
      </c>
      <c r="T130" s="132">
        <v>24</v>
      </c>
      <c r="U130" s="115">
        <v>5</v>
      </c>
      <c r="V130" s="130">
        <f t="shared" si="42"/>
        <v>259.5</v>
      </c>
      <c r="W130" s="118">
        <f t="shared" si="43"/>
        <v>126</v>
      </c>
    </row>
    <row r="131" spans="1:26" ht="24.9" customHeight="1" x14ac:dyDescent="0.3">
      <c r="A131" s="131">
        <v>2</v>
      </c>
      <c r="B131" s="131">
        <v>14</v>
      </c>
      <c r="C131" s="131" t="s">
        <v>200</v>
      </c>
      <c r="D131" s="116" t="s">
        <v>318</v>
      </c>
      <c r="E131" s="132">
        <v>42</v>
      </c>
      <c r="F131" s="115">
        <v>6</v>
      </c>
      <c r="G131" s="116" t="s">
        <v>319</v>
      </c>
      <c r="H131" s="132">
        <v>34</v>
      </c>
      <c r="I131" s="115">
        <v>5</v>
      </c>
      <c r="J131" s="132">
        <v>78</v>
      </c>
      <c r="K131" s="115">
        <v>3</v>
      </c>
      <c r="L131" s="114">
        <f t="shared" si="41"/>
        <v>154</v>
      </c>
      <c r="M131" s="127">
        <f t="shared" si="40"/>
        <v>144</v>
      </c>
      <c r="N131" s="116" t="s">
        <v>320</v>
      </c>
      <c r="O131" s="132">
        <v>43</v>
      </c>
      <c r="P131" s="117">
        <v>3</v>
      </c>
      <c r="Q131" s="116" t="s">
        <v>321</v>
      </c>
      <c r="R131" s="132">
        <v>29.5</v>
      </c>
      <c r="S131" s="117">
        <v>4</v>
      </c>
      <c r="T131" s="132">
        <v>33</v>
      </c>
      <c r="U131" s="115">
        <v>3</v>
      </c>
      <c r="V131" s="130">
        <f t="shared" si="42"/>
        <v>259.5</v>
      </c>
      <c r="W131" s="118">
        <f t="shared" si="43"/>
        <v>126</v>
      </c>
      <c r="Y131" s="44"/>
      <c r="Z131" s="44"/>
    </row>
    <row r="132" spans="1:26" ht="24.9" customHeight="1" x14ac:dyDescent="0.3">
      <c r="A132" s="131">
        <v>2</v>
      </c>
      <c r="B132" s="131">
        <v>18</v>
      </c>
      <c r="C132" s="131" t="s">
        <v>201</v>
      </c>
      <c r="D132" s="116" t="s">
        <v>318</v>
      </c>
      <c r="E132" s="132">
        <v>66</v>
      </c>
      <c r="F132" s="115">
        <v>4</v>
      </c>
      <c r="G132" s="116" t="s">
        <v>319</v>
      </c>
      <c r="H132" s="132">
        <v>56</v>
      </c>
      <c r="I132" s="115">
        <v>3</v>
      </c>
      <c r="J132" s="132">
        <v>58</v>
      </c>
      <c r="K132" s="115">
        <v>5</v>
      </c>
      <c r="L132" s="114">
        <f t="shared" si="41"/>
        <v>180</v>
      </c>
      <c r="M132" s="127">
        <f t="shared" ref="M132:M195" si="44">RANK(L132,$L$4:$L$491)</f>
        <v>82</v>
      </c>
      <c r="N132" s="116" t="s">
        <v>320</v>
      </c>
      <c r="O132" s="132">
        <v>39</v>
      </c>
      <c r="P132" s="117">
        <v>4</v>
      </c>
      <c r="Q132" s="116" t="s">
        <v>321</v>
      </c>
      <c r="R132" s="132">
        <v>25.5</v>
      </c>
      <c r="S132" s="117">
        <v>5</v>
      </c>
      <c r="T132" s="132">
        <v>15</v>
      </c>
      <c r="U132" s="115">
        <v>6</v>
      </c>
      <c r="V132" s="130">
        <f t="shared" si="42"/>
        <v>259.5</v>
      </c>
      <c r="W132" s="118">
        <f t="shared" si="43"/>
        <v>126</v>
      </c>
    </row>
    <row r="133" spans="1:26" ht="24.9" customHeight="1" x14ac:dyDescent="0.3">
      <c r="A133" s="131">
        <v>3</v>
      </c>
      <c r="B133" s="131">
        <v>7</v>
      </c>
      <c r="C133" s="131" t="s">
        <v>202</v>
      </c>
      <c r="D133" s="116" t="s">
        <v>318</v>
      </c>
      <c r="E133" s="132">
        <v>22</v>
      </c>
      <c r="F133" s="115">
        <v>8</v>
      </c>
      <c r="G133" s="116" t="s">
        <v>319</v>
      </c>
      <c r="H133" s="132">
        <v>38</v>
      </c>
      <c r="I133" s="115">
        <v>5</v>
      </c>
      <c r="J133" s="132">
        <v>76</v>
      </c>
      <c r="K133" s="115">
        <v>3</v>
      </c>
      <c r="L133" s="114">
        <f t="shared" ref="L133:L196" si="45">SUM(E133,H133,J133)</f>
        <v>136</v>
      </c>
      <c r="M133" s="127">
        <f t="shared" si="44"/>
        <v>173</v>
      </c>
      <c r="N133" s="116" t="s">
        <v>320</v>
      </c>
      <c r="O133" s="132">
        <v>40</v>
      </c>
      <c r="P133" s="117">
        <v>4</v>
      </c>
      <c r="Q133" s="116" t="s">
        <v>321</v>
      </c>
      <c r="R133" s="132">
        <v>42</v>
      </c>
      <c r="S133" s="117">
        <v>3</v>
      </c>
      <c r="T133" s="132">
        <v>41</v>
      </c>
      <c r="U133" s="115">
        <v>1</v>
      </c>
      <c r="V133" s="130">
        <f t="shared" ref="V133:V196" si="46">SUM(L133,T133,R133,O133)</f>
        <v>259</v>
      </c>
      <c r="W133" s="118">
        <f t="shared" ref="W133:W196" si="47">RANK(V133,$V$4:$V$491)</f>
        <v>130</v>
      </c>
      <c r="Y133" s="44"/>
      <c r="Z133" s="44"/>
    </row>
    <row r="134" spans="1:26" ht="24.9" customHeight="1" x14ac:dyDescent="0.3">
      <c r="A134" s="131">
        <v>10</v>
      </c>
      <c r="B134" s="131">
        <v>13</v>
      </c>
      <c r="C134" s="131" t="s">
        <v>203</v>
      </c>
      <c r="D134" s="116" t="s">
        <v>318</v>
      </c>
      <c r="E134" s="132">
        <v>72</v>
      </c>
      <c r="F134" s="115">
        <v>4</v>
      </c>
      <c r="G134" s="116" t="s">
        <v>319</v>
      </c>
      <c r="H134" s="132">
        <v>29</v>
      </c>
      <c r="I134" s="115">
        <v>6</v>
      </c>
      <c r="J134" s="132">
        <v>64</v>
      </c>
      <c r="K134" s="115">
        <v>4</v>
      </c>
      <c r="L134" s="114">
        <f t="shared" si="45"/>
        <v>165</v>
      </c>
      <c r="M134" s="127">
        <f t="shared" si="44"/>
        <v>115</v>
      </c>
      <c r="N134" s="116" t="s">
        <v>320</v>
      </c>
      <c r="O134" s="132">
        <v>38.5</v>
      </c>
      <c r="P134" s="117">
        <v>4</v>
      </c>
      <c r="Q134" s="116" t="s">
        <v>321</v>
      </c>
      <c r="R134" s="132">
        <v>26</v>
      </c>
      <c r="S134" s="117">
        <v>5</v>
      </c>
      <c r="T134" s="132">
        <v>28</v>
      </c>
      <c r="U134" s="115">
        <v>4</v>
      </c>
      <c r="V134" s="130">
        <f t="shared" si="46"/>
        <v>257.5</v>
      </c>
      <c r="W134" s="118">
        <f t="shared" si="47"/>
        <v>131</v>
      </c>
    </row>
    <row r="135" spans="1:26" ht="24.9" customHeight="1" x14ac:dyDescent="0.3">
      <c r="A135" s="131">
        <v>7</v>
      </c>
      <c r="B135" s="131">
        <v>17</v>
      </c>
      <c r="C135" s="131" t="s">
        <v>204</v>
      </c>
      <c r="D135" s="116" t="s">
        <v>318</v>
      </c>
      <c r="E135" s="132">
        <v>58</v>
      </c>
      <c r="F135" s="115">
        <v>5</v>
      </c>
      <c r="G135" s="116" t="s">
        <v>319</v>
      </c>
      <c r="H135" s="132">
        <v>26</v>
      </c>
      <c r="I135" s="115">
        <v>6</v>
      </c>
      <c r="J135" s="132">
        <v>71</v>
      </c>
      <c r="K135" s="115">
        <v>3</v>
      </c>
      <c r="L135" s="114">
        <f t="shared" si="45"/>
        <v>155</v>
      </c>
      <c r="M135" s="127">
        <f t="shared" si="44"/>
        <v>142</v>
      </c>
      <c r="N135" s="116" t="s">
        <v>320</v>
      </c>
      <c r="O135" s="132">
        <v>35</v>
      </c>
      <c r="P135" s="117">
        <v>5</v>
      </c>
      <c r="Q135" s="116" t="s">
        <v>321</v>
      </c>
      <c r="R135" s="132">
        <v>22.5</v>
      </c>
      <c r="S135" s="117">
        <v>5</v>
      </c>
      <c r="T135" s="132">
        <v>44</v>
      </c>
      <c r="U135" s="115">
        <v>1</v>
      </c>
      <c r="V135" s="130">
        <f t="shared" si="46"/>
        <v>256.5</v>
      </c>
      <c r="W135" s="118">
        <f t="shared" si="47"/>
        <v>132</v>
      </c>
    </row>
    <row r="136" spans="1:26" ht="24.9" customHeight="1" x14ac:dyDescent="0.3">
      <c r="A136" s="131">
        <v>2</v>
      </c>
      <c r="B136" s="131">
        <v>27</v>
      </c>
      <c r="C136" s="131" t="s">
        <v>205</v>
      </c>
      <c r="D136" s="116" t="s">
        <v>318</v>
      </c>
      <c r="E136" s="132">
        <v>52</v>
      </c>
      <c r="F136" s="115">
        <v>5</v>
      </c>
      <c r="G136" s="116" t="s">
        <v>319</v>
      </c>
      <c r="H136" s="132">
        <v>38</v>
      </c>
      <c r="I136" s="115">
        <v>5</v>
      </c>
      <c r="J136" s="132">
        <v>74</v>
      </c>
      <c r="K136" s="115">
        <v>3</v>
      </c>
      <c r="L136" s="114">
        <f t="shared" si="45"/>
        <v>164</v>
      </c>
      <c r="M136" s="127">
        <f t="shared" si="44"/>
        <v>120</v>
      </c>
      <c r="N136" s="116" t="s">
        <v>320</v>
      </c>
      <c r="O136" s="132">
        <v>38.5</v>
      </c>
      <c r="P136" s="117">
        <v>4</v>
      </c>
      <c r="Q136" s="116" t="s">
        <v>321</v>
      </c>
      <c r="R136" s="132">
        <v>24</v>
      </c>
      <c r="S136" s="117">
        <v>5</v>
      </c>
      <c r="T136" s="132">
        <v>29</v>
      </c>
      <c r="U136" s="115">
        <v>4</v>
      </c>
      <c r="V136" s="130">
        <f t="shared" si="46"/>
        <v>255.5</v>
      </c>
      <c r="W136" s="118">
        <f t="shared" si="47"/>
        <v>133</v>
      </c>
    </row>
    <row r="137" spans="1:26" s="5" customFormat="1" ht="24.9" customHeight="1" x14ac:dyDescent="0.3">
      <c r="A137" s="131">
        <v>9</v>
      </c>
      <c r="B137" s="131">
        <v>6</v>
      </c>
      <c r="C137" s="131" t="s">
        <v>74</v>
      </c>
      <c r="D137" s="116" t="s">
        <v>318</v>
      </c>
      <c r="E137" s="132">
        <v>52</v>
      </c>
      <c r="F137" s="115">
        <v>5</v>
      </c>
      <c r="G137" s="116" t="s">
        <v>319</v>
      </c>
      <c r="H137" s="132">
        <v>41</v>
      </c>
      <c r="I137" s="115">
        <v>5</v>
      </c>
      <c r="J137" s="132">
        <v>61</v>
      </c>
      <c r="K137" s="115">
        <v>4</v>
      </c>
      <c r="L137" s="114">
        <f t="shared" si="45"/>
        <v>154</v>
      </c>
      <c r="M137" s="127">
        <f t="shared" si="44"/>
        <v>144</v>
      </c>
      <c r="N137" s="116" t="s">
        <v>320</v>
      </c>
      <c r="O137" s="132">
        <v>35</v>
      </c>
      <c r="P137" s="117">
        <v>5</v>
      </c>
      <c r="Q137" s="116" t="s">
        <v>321</v>
      </c>
      <c r="R137" s="132">
        <v>38</v>
      </c>
      <c r="S137" s="117">
        <v>3</v>
      </c>
      <c r="T137" s="132">
        <v>28</v>
      </c>
      <c r="U137" s="115">
        <v>4</v>
      </c>
      <c r="V137" s="130">
        <f t="shared" si="46"/>
        <v>255</v>
      </c>
      <c r="W137" s="118">
        <f t="shared" si="47"/>
        <v>134</v>
      </c>
      <c r="Y137" s="45"/>
      <c r="Z137" s="45"/>
    </row>
    <row r="138" spans="1:26" s="5" customFormat="1" ht="24.9" customHeight="1" x14ac:dyDescent="0.3">
      <c r="A138" s="131">
        <v>4</v>
      </c>
      <c r="B138" s="131">
        <v>26</v>
      </c>
      <c r="C138" s="131" t="s">
        <v>206</v>
      </c>
      <c r="D138" s="116" t="s">
        <v>318</v>
      </c>
      <c r="E138" s="132">
        <v>48</v>
      </c>
      <c r="F138" s="115">
        <v>5</v>
      </c>
      <c r="G138" s="116" t="s">
        <v>319</v>
      </c>
      <c r="H138" s="132">
        <v>36</v>
      </c>
      <c r="I138" s="115">
        <v>5</v>
      </c>
      <c r="J138" s="132">
        <v>59</v>
      </c>
      <c r="K138" s="115">
        <v>5</v>
      </c>
      <c r="L138" s="114">
        <f t="shared" si="45"/>
        <v>143</v>
      </c>
      <c r="M138" s="127">
        <f t="shared" si="44"/>
        <v>163</v>
      </c>
      <c r="N138" s="116" t="s">
        <v>320</v>
      </c>
      <c r="O138" s="132">
        <v>44</v>
      </c>
      <c r="P138" s="117">
        <v>3</v>
      </c>
      <c r="Q138" s="116" t="s">
        <v>321</v>
      </c>
      <c r="R138" s="132">
        <v>20.5</v>
      </c>
      <c r="S138" s="117">
        <v>5</v>
      </c>
      <c r="T138" s="132">
        <v>47</v>
      </c>
      <c r="U138" s="115">
        <v>1</v>
      </c>
      <c r="V138" s="130">
        <f t="shared" si="46"/>
        <v>254.5</v>
      </c>
      <c r="W138" s="118">
        <f t="shared" si="47"/>
        <v>135</v>
      </c>
    </row>
    <row r="139" spans="1:26" s="5" customFormat="1" ht="24.9" customHeight="1" x14ac:dyDescent="0.3">
      <c r="A139" s="131">
        <v>9</v>
      </c>
      <c r="B139" s="131">
        <v>1</v>
      </c>
      <c r="C139" s="131" t="s">
        <v>207</v>
      </c>
      <c r="D139" s="116" t="s">
        <v>318</v>
      </c>
      <c r="E139" s="132">
        <v>80</v>
      </c>
      <c r="F139" s="115">
        <v>3</v>
      </c>
      <c r="G139" s="116" t="s">
        <v>319</v>
      </c>
      <c r="H139" s="132">
        <v>27</v>
      </c>
      <c r="I139" s="115">
        <v>6</v>
      </c>
      <c r="J139" s="132">
        <v>50</v>
      </c>
      <c r="K139" s="115">
        <v>5</v>
      </c>
      <c r="L139" s="114">
        <f t="shared" si="45"/>
        <v>157</v>
      </c>
      <c r="M139" s="127">
        <f t="shared" si="44"/>
        <v>139</v>
      </c>
      <c r="N139" s="116" t="s">
        <v>320</v>
      </c>
      <c r="O139" s="132">
        <v>39.5</v>
      </c>
      <c r="P139" s="117">
        <v>4</v>
      </c>
      <c r="Q139" s="116" t="s">
        <v>321</v>
      </c>
      <c r="R139" s="132">
        <v>18</v>
      </c>
      <c r="S139" s="117">
        <v>6</v>
      </c>
      <c r="T139" s="132">
        <v>40</v>
      </c>
      <c r="U139" s="115">
        <v>1</v>
      </c>
      <c r="V139" s="130">
        <f t="shared" si="46"/>
        <v>254.5</v>
      </c>
      <c r="W139" s="118">
        <f t="shared" si="47"/>
        <v>135</v>
      </c>
    </row>
    <row r="140" spans="1:26" s="5" customFormat="1" ht="24.9" customHeight="1" x14ac:dyDescent="0.3">
      <c r="A140" s="131">
        <v>10</v>
      </c>
      <c r="B140" s="131">
        <v>15</v>
      </c>
      <c r="C140" s="131" t="s">
        <v>208</v>
      </c>
      <c r="D140" s="116" t="s">
        <v>318</v>
      </c>
      <c r="E140" s="132">
        <v>73</v>
      </c>
      <c r="F140" s="115">
        <v>3</v>
      </c>
      <c r="G140" s="116" t="s">
        <v>319</v>
      </c>
      <c r="H140" s="132">
        <v>16</v>
      </c>
      <c r="I140" s="115">
        <v>7</v>
      </c>
      <c r="J140" s="132">
        <v>64</v>
      </c>
      <c r="K140" s="115">
        <v>4</v>
      </c>
      <c r="L140" s="114">
        <f t="shared" si="45"/>
        <v>153</v>
      </c>
      <c r="M140" s="127">
        <f t="shared" si="44"/>
        <v>146</v>
      </c>
      <c r="N140" s="116" t="s">
        <v>320</v>
      </c>
      <c r="O140" s="132">
        <v>41</v>
      </c>
      <c r="P140" s="117">
        <v>4</v>
      </c>
      <c r="Q140" s="116" t="s">
        <v>321</v>
      </c>
      <c r="R140" s="132">
        <v>30.5</v>
      </c>
      <c r="S140" s="117">
        <v>4</v>
      </c>
      <c r="T140" s="132">
        <v>26</v>
      </c>
      <c r="U140" s="115">
        <v>4</v>
      </c>
      <c r="V140" s="130">
        <f t="shared" si="46"/>
        <v>250.5</v>
      </c>
      <c r="W140" s="118">
        <f t="shared" si="47"/>
        <v>137</v>
      </c>
      <c r="Y140" s="45"/>
      <c r="Z140" s="45"/>
    </row>
    <row r="141" spans="1:26" s="5" customFormat="1" ht="24.9" customHeight="1" x14ac:dyDescent="0.3">
      <c r="A141" s="131">
        <v>4</v>
      </c>
      <c r="B141" s="131">
        <v>16</v>
      </c>
      <c r="C141" s="131" t="s">
        <v>209</v>
      </c>
      <c r="D141" s="116" t="s">
        <v>318</v>
      </c>
      <c r="E141" s="132">
        <v>52</v>
      </c>
      <c r="F141" s="115">
        <v>5</v>
      </c>
      <c r="G141" s="116" t="s">
        <v>319</v>
      </c>
      <c r="H141" s="132">
        <v>47</v>
      </c>
      <c r="I141" s="115">
        <v>4</v>
      </c>
      <c r="J141" s="132">
        <v>54</v>
      </c>
      <c r="K141" s="115">
        <v>5</v>
      </c>
      <c r="L141" s="114">
        <f t="shared" si="45"/>
        <v>153</v>
      </c>
      <c r="M141" s="127">
        <f t="shared" si="44"/>
        <v>146</v>
      </c>
      <c r="N141" s="116" t="s">
        <v>320</v>
      </c>
      <c r="O141" s="132">
        <v>37</v>
      </c>
      <c r="P141" s="117">
        <v>4</v>
      </c>
      <c r="Q141" s="116" t="s">
        <v>321</v>
      </c>
      <c r="R141" s="132">
        <v>34</v>
      </c>
      <c r="S141" s="117">
        <v>4</v>
      </c>
      <c r="T141" s="132">
        <v>26</v>
      </c>
      <c r="U141" s="115">
        <v>4</v>
      </c>
      <c r="V141" s="130">
        <f t="shared" si="46"/>
        <v>250</v>
      </c>
      <c r="W141" s="118">
        <f t="shared" si="47"/>
        <v>138</v>
      </c>
    </row>
    <row r="142" spans="1:26" s="5" customFormat="1" ht="24.9" customHeight="1" x14ac:dyDescent="0.3">
      <c r="A142" s="131">
        <v>5</v>
      </c>
      <c r="B142" s="131">
        <v>7</v>
      </c>
      <c r="C142" s="131" t="s">
        <v>210</v>
      </c>
      <c r="D142" s="116" t="s">
        <v>318</v>
      </c>
      <c r="E142" s="132">
        <v>45</v>
      </c>
      <c r="F142" s="115">
        <v>6</v>
      </c>
      <c r="G142" s="116" t="s">
        <v>319</v>
      </c>
      <c r="H142" s="132">
        <v>51</v>
      </c>
      <c r="I142" s="115">
        <v>4</v>
      </c>
      <c r="J142" s="132">
        <v>62</v>
      </c>
      <c r="K142" s="115">
        <v>4</v>
      </c>
      <c r="L142" s="114">
        <f t="shared" si="45"/>
        <v>158</v>
      </c>
      <c r="M142" s="127">
        <f t="shared" si="44"/>
        <v>135</v>
      </c>
      <c r="N142" s="116" t="s">
        <v>320</v>
      </c>
      <c r="O142" s="132">
        <v>30</v>
      </c>
      <c r="P142" s="117">
        <v>5</v>
      </c>
      <c r="Q142" s="116" t="s">
        <v>321</v>
      </c>
      <c r="R142" s="132">
        <v>21.5</v>
      </c>
      <c r="S142" s="117">
        <v>5</v>
      </c>
      <c r="T142" s="132">
        <v>40</v>
      </c>
      <c r="U142" s="115">
        <v>1</v>
      </c>
      <c r="V142" s="130">
        <f t="shared" si="46"/>
        <v>249.5</v>
      </c>
      <c r="W142" s="118">
        <f t="shared" si="47"/>
        <v>139</v>
      </c>
    </row>
    <row r="143" spans="1:26" s="5" customFormat="1" ht="24.9" customHeight="1" x14ac:dyDescent="0.3">
      <c r="A143" s="131">
        <v>8</v>
      </c>
      <c r="B143" s="131">
        <v>6</v>
      </c>
      <c r="C143" s="131" t="s">
        <v>211</v>
      </c>
      <c r="D143" s="116" t="s">
        <v>318</v>
      </c>
      <c r="E143" s="132">
        <v>67</v>
      </c>
      <c r="F143" s="115">
        <v>4</v>
      </c>
      <c r="G143" s="116" t="s">
        <v>319</v>
      </c>
      <c r="H143" s="132">
        <v>40</v>
      </c>
      <c r="I143" s="115">
        <v>5</v>
      </c>
      <c r="J143" s="132">
        <v>64</v>
      </c>
      <c r="K143" s="115">
        <v>4</v>
      </c>
      <c r="L143" s="114">
        <f t="shared" si="45"/>
        <v>171</v>
      </c>
      <c r="M143" s="127">
        <f t="shared" si="44"/>
        <v>97</v>
      </c>
      <c r="N143" s="116" t="s">
        <v>320</v>
      </c>
      <c r="O143" s="132">
        <v>30.5</v>
      </c>
      <c r="P143" s="117">
        <v>5</v>
      </c>
      <c r="Q143" s="116" t="s">
        <v>321</v>
      </c>
      <c r="R143" s="132">
        <v>12.5</v>
      </c>
      <c r="S143" s="117">
        <v>7</v>
      </c>
      <c r="T143" s="132">
        <v>35</v>
      </c>
      <c r="U143" s="115">
        <v>2</v>
      </c>
      <c r="V143" s="130">
        <f t="shared" si="46"/>
        <v>249</v>
      </c>
      <c r="W143" s="118">
        <f t="shared" si="47"/>
        <v>140</v>
      </c>
    </row>
    <row r="144" spans="1:26" s="5" customFormat="1" ht="24.9" customHeight="1" x14ac:dyDescent="0.3">
      <c r="A144" s="131">
        <v>8</v>
      </c>
      <c r="B144" s="131">
        <v>7</v>
      </c>
      <c r="C144" s="131" t="s">
        <v>79</v>
      </c>
      <c r="D144" s="116" t="s">
        <v>318</v>
      </c>
      <c r="E144" s="132">
        <v>69</v>
      </c>
      <c r="F144" s="115">
        <v>4</v>
      </c>
      <c r="G144" s="116" t="s">
        <v>319</v>
      </c>
      <c r="H144" s="132">
        <v>26</v>
      </c>
      <c r="I144" s="115">
        <v>6</v>
      </c>
      <c r="J144" s="132">
        <v>84</v>
      </c>
      <c r="K144" s="115">
        <v>2</v>
      </c>
      <c r="L144" s="114">
        <f t="shared" si="45"/>
        <v>179</v>
      </c>
      <c r="M144" s="127">
        <f t="shared" si="44"/>
        <v>83</v>
      </c>
      <c r="N144" s="116" t="s">
        <v>320</v>
      </c>
      <c r="O144" s="132">
        <v>40.5</v>
      </c>
      <c r="P144" s="117">
        <v>4</v>
      </c>
      <c r="Q144" s="116" t="s">
        <v>321</v>
      </c>
      <c r="R144" s="132">
        <v>11.5</v>
      </c>
      <c r="S144" s="117">
        <v>7</v>
      </c>
      <c r="T144" s="132">
        <v>18</v>
      </c>
      <c r="U144" s="115">
        <v>6</v>
      </c>
      <c r="V144" s="130">
        <f t="shared" si="46"/>
        <v>249</v>
      </c>
      <c r="W144" s="118">
        <f t="shared" si="47"/>
        <v>140</v>
      </c>
    </row>
    <row r="145" spans="1:28" s="5" customFormat="1" ht="24.9" customHeight="1" x14ac:dyDescent="0.3">
      <c r="A145" s="131">
        <v>1</v>
      </c>
      <c r="B145" s="131">
        <v>13</v>
      </c>
      <c r="C145" s="131" t="s">
        <v>212</v>
      </c>
      <c r="D145" s="116" t="s">
        <v>318</v>
      </c>
      <c r="E145" s="132">
        <v>65</v>
      </c>
      <c r="F145" s="115">
        <v>4</v>
      </c>
      <c r="G145" s="116" t="s">
        <v>319</v>
      </c>
      <c r="H145" s="132">
        <v>18</v>
      </c>
      <c r="I145" s="115">
        <v>7</v>
      </c>
      <c r="J145" s="132">
        <v>48</v>
      </c>
      <c r="K145" s="115">
        <v>6</v>
      </c>
      <c r="L145" s="114">
        <f t="shared" si="45"/>
        <v>131</v>
      </c>
      <c r="M145" s="127">
        <f t="shared" si="44"/>
        <v>183</v>
      </c>
      <c r="N145" s="116" t="s">
        <v>320</v>
      </c>
      <c r="O145" s="132">
        <v>42</v>
      </c>
      <c r="P145" s="117">
        <v>4</v>
      </c>
      <c r="Q145" s="116" t="s">
        <v>321</v>
      </c>
      <c r="R145" s="132">
        <v>38.5</v>
      </c>
      <c r="S145" s="117">
        <v>3</v>
      </c>
      <c r="T145" s="132">
        <v>37</v>
      </c>
      <c r="U145" s="115">
        <v>2</v>
      </c>
      <c r="V145" s="130">
        <f t="shared" si="46"/>
        <v>248.5</v>
      </c>
      <c r="W145" s="118">
        <f t="shared" si="47"/>
        <v>142</v>
      </c>
    </row>
    <row r="146" spans="1:28" s="5" customFormat="1" ht="24.9" customHeight="1" x14ac:dyDescent="0.3">
      <c r="A146" s="131">
        <v>7</v>
      </c>
      <c r="B146" s="131">
        <v>1</v>
      </c>
      <c r="C146" s="131" t="s">
        <v>213</v>
      </c>
      <c r="D146" s="116" t="s">
        <v>318</v>
      </c>
      <c r="E146" s="132">
        <v>53</v>
      </c>
      <c r="F146" s="115">
        <v>5</v>
      </c>
      <c r="G146" s="116" t="s">
        <v>319</v>
      </c>
      <c r="H146" s="132">
        <v>31</v>
      </c>
      <c r="I146" s="115">
        <v>6</v>
      </c>
      <c r="J146" s="132">
        <v>67</v>
      </c>
      <c r="K146" s="115">
        <v>4</v>
      </c>
      <c r="L146" s="114">
        <f t="shared" si="45"/>
        <v>151</v>
      </c>
      <c r="M146" s="127">
        <f t="shared" si="44"/>
        <v>152</v>
      </c>
      <c r="N146" s="116" t="s">
        <v>320</v>
      </c>
      <c r="O146" s="132">
        <v>33</v>
      </c>
      <c r="P146" s="117">
        <v>5</v>
      </c>
      <c r="Q146" s="116" t="s">
        <v>321</v>
      </c>
      <c r="R146" s="132">
        <v>18.5</v>
      </c>
      <c r="S146" s="117">
        <v>6</v>
      </c>
      <c r="T146" s="132">
        <v>45</v>
      </c>
      <c r="U146" s="115">
        <v>1</v>
      </c>
      <c r="V146" s="130">
        <f t="shared" si="46"/>
        <v>247.5</v>
      </c>
      <c r="W146" s="118">
        <f t="shared" si="47"/>
        <v>143</v>
      </c>
    </row>
    <row r="147" spans="1:28" s="5" customFormat="1" ht="24.9" customHeight="1" x14ac:dyDescent="0.3">
      <c r="A147" s="131">
        <v>7</v>
      </c>
      <c r="B147" s="131">
        <v>26</v>
      </c>
      <c r="C147" s="131" t="s">
        <v>214</v>
      </c>
      <c r="D147" s="116" t="s">
        <v>318</v>
      </c>
      <c r="E147" s="132">
        <v>68</v>
      </c>
      <c r="F147" s="115">
        <v>4</v>
      </c>
      <c r="G147" s="116" t="s">
        <v>319</v>
      </c>
      <c r="H147" s="132">
        <v>38</v>
      </c>
      <c r="I147" s="115">
        <v>5</v>
      </c>
      <c r="J147" s="132">
        <v>58</v>
      </c>
      <c r="K147" s="115">
        <v>5</v>
      </c>
      <c r="L147" s="114">
        <f t="shared" si="45"/>
        <v>164</v>
      </c>
      <c r="M147" s="127">
        <f t="shared" si="44"/>
        <v>120</v>
      </c>
      <c r="N147" s="116" t="s">
        <v>320</v>
      </c>
      <c r="O147" s="132">
        <v>40.5</v>
      </c>
      <c r="P147" s="117">
        <v>4</v>
      </c>
      <c r="Q147" s="116" t="s">
        <v>321</v>
      </c>
      <c r="R147" s="132">
        <v>22</v>
      </c>
      <c r="S147" s="117">
        <v>5</v>
      </c>
      <c r="T147" s="132">
        <v>21</v>
      </c>
      <c r="U147" s="115">
        <v>5</v>
      </c>
      <c r="V147" s="130">
        <f t="shared" si="46"/>
        <v>247.5</v>
      </c>
      <c r="W147" s="118">
        <f t="shared" si="47"/>
        <v>143</v>
      </c>
    </row>
    <row r="148" spans="1:28" s="5" customFormat="1" ht="24.9" customHeight="1" x14ac:dyDescent="0.3">
      <c r="A148" s="131">
        <v>10</v>
      </c>
      <c r="B148" s="131">
        <v>1</v>
      </c>
      <c r="C148" s="131" t="s">
        <v>215</v>
      </c>
      <c r="D148" s="116" t="s">
        <v>318</v>
      </c>
      <c r="E148" s="132">
        <v>63</v>
      </c>
      <c r="F148" s="115">
        <v>4</v>
      </c>
      <c r="G148" s="116" t="s">
        <v>319</v>
      </c>
      <c r="H148" s="132">
        <v>16</v>
      </c>
      <c r="I148" s="115">
        <v>7</v>
      </c>
      <c r="J148" s="132">
        <v>66</v>
      </c>
      <c r="K148" s="115">
        <v>4</v>
      </c>
      <c r="L148" s="114">
        <f t="shared" si="45"/>
        <v>145</v>
      </c>
      <c r="M148" s="127">
        <f t="shared" si="44"/>
        <v>160</v>
      </c>
      <c r="N148" s="116" t="s">
        <v>320</v>
      </c>
      <c r="O148" s="132">
        <v>43</v>
      </c>
      <c r="P148" s="117">
        <v>3</v>
      </c>
      <c r="Q148" s="116" t="s">
        <v>321</v>
      </c>
      <c r="R148" s="132">
        <v>23.5</v>
      </c>
      <c r="S148" s="117">
        <v>5</v>
      </c>
      <c r="T148" s="132">
        <v>36</v>
      </c>
      <c r="U148" s="115">
        <v>2</v>
      </c>
      <c r="V148" s="130">
        <f t="shared" si="46"/>
        <v>247.5</v>
      </c>
      <c r="W148" s="118">
        <f t="shared" si="47"/>
        <v>143</v>
      </c>
    </row>
    <row r="149" spans="1:28" s="5" customFormat="1" ht="24.9" customHeight="1" x14ac:dyDescent="0.3">
      <c r="A149" s="131">
        <v>9</v>
      </c>
      <c r="B149" s="131">
        <v>27</v>
      </c>
      <c r="C149" s="131" t="s">
        <v>216</v>
      </c>
      <c r="D149" s="116" t="s">
        <v>318</v>
      </c>
      <c r="E149" s="132">
        <v>45</v>
      </c>
      <c r="F149" s="115">
        <v>6</v>
      </c>
      <c r="G149" s="116" t="s">
        <v>319</v>
      </c>
      <c r="H149" s="132">
        <v>34</v>
      </c>
      <c r="I149" s="115">
        <v>5</v>
      </c>
      <c r="J149" s="132">
        <v>53</v>
      </c>
      <c r="K149" s="115">
        <v>5</v>
      </c>
      <c r="L149" s="114">
        <f t="shared" si="45"/>
        <v>132</v>
      </c>
      <c r="M149" s="127">
        <f t="shared" si="44"/>
        <v>181</v>
      </c>
      <c r="N149" s="116" t="s">
        <v>320</v>
      </c>
      <c r="O149" s="132">
        <v>42.5</v>
      </c>
      <c r="P149" s="117">
        <v>4</v>
      </c>
      <c r="Q149" s="116" t="s">
        <v>321</v>
      </c>
      <c r="R149" s="132">
        <v>28.5</v>
      </c>
      <c r="S149" s="117">
        <v>5</v>
      </c>
      <c r="T149" s="132">
        <v>44</v>
      </c>
      <c r="U149" s="115">
        <v>1</v>
      </c>
      <c r="V149" s="130">
        <f t="shared" si="46"/>
        <v>247</v>
      </c>
      <c r="W149" s="118">
        <f t="shared" si="47"/>
        <v>146</v>
      </c>
    </row>
    <row r="150" spans="1:28" s="5" customFormat="1" ht="24.9" customHeight="1" x14ac:dyDescent="0.3">
      <c r="A150" s="131">
        <v>7</v>
      </c>
      <c r="B150" s="131">
        <v>4</v>
      </c>
      <c r="C150" s="131" t="s">
        <v>217</v>
      </c>
      <c r="D150" s="116" t="s">
        <v>318</v>
      </c>
      <c r="E150" s="132">
        <v>70</v>
      </c>
      <c r="F150" s="115">
        <v>4</v>
      </c>
      <c r="G150" s="116" t="s">
        <v>319</v>
      </c>
      <c r="H150" s="132">
        <v>21</v>
      </c>
      <c r="I150" s="115">
        <v>6</v>
      </c>
      <c r="J150" s="132">
        <v>48</v>
      </c>
      <c r="K150" s="115">
        <v>6</v>
      </c>
      <c r="L150" s="114">
        <f t="shared" si="45"/>
        <v>139</v>
      </c>
      <c r="M150" s="127">
        <f t="shared" si="44"/>
        <v>168</v>
      </c>
      <c r="N150" s="116" t="s">
        <v>320</v>
      </c>
      <c r="O150" s="132">
        <v>45</v>
      </c>
      <c r="P150" s="117">
        <v>3</v>
      </c>
      <c r="Q150" s="116" t="s">
        <v>321</v>
      </c>
      <c r="R150" s="132">
        <v>25</v>
      </c>
      <c r="S150" s="117">
        <v>5</v>
      </c>
      <c r="T150" s="132">
        <v>37</v>
      </c>
      <c r="U150" s="115">
        <v>2</v>
      </c>
      <c r="V150" s="130">
        <f t="shared" si="46"/>
        <v>246</v>
      </c>
      <c r="W150" s="118">
        <f t="shared" si="47"/>
        <v>147</v>
      </c>
    </row>
    <row r="151" spans="1:28" s="5" customFormat="1" ht="24.9" customHeight="1" x14ac:dyDescent="0.3">
      <c r="A151" s="131">
        <v>7</v>
      </c>
      <c r="B151" s="131">
        <v>6</v>
      </c>
      <c r="C151" s="131" t="s">
        <v>218</v>
      </c>
      <c r="D151" s="116" t="s">
        <v>318</v>
      </c>
      <c r="E151" s="132">
        <v>59</v>
      </c>
      <c r="F151" s="115">
        <v>5</v>
      </c>
      <c r="G151" s="116" t="s">
        <v>319</v>
      </c>
      <c r="H151" s="132">
        <v>39</v>
      </c>
      <c r="I151" s="115">
        <v>5</v>
      </c>
      <c r="J151" s="132">
        <v>72</v>
      </c>
      <c r="K151" s="115">
        <v>3</v>
      </c>
      <c r="L151" s="114">
        <f t="shared" si="45"/>
        <v>170</v>
      </c>
      <c r="M151" s="127">
        <f t="shared" si="44"/>
        <v>101</v>
      </c>
      <c r="N151" s="116" t="s">
        <v>320</v>
      </c>
      <c r="O151" s="132">
        <v>32.5</v>
      </c>
      <c r="P151" s="117">
        <v>5</v>
      </c>
      <c r="Q151" s="116" t="s">
        <v>321</v>
      </c>
      <c r="R151" s="132">
        <v>26.5</v>
      </c>
      <c r="S151" s="117">
        <v>5</v>
      </c>
      <c r="T151" s="132">
        <v>17</v>
      </c>
      <c r="U151" s="115">
        <v>6</v>
      </c>
      <c r="V151" s="130">
        <f t="shared" si="46"/>
        <v>246</v>
      </c>
      <c r="W151" s="118">
        <f t="shared" si="47"/>
        <v>147</v>
      </c>
    </row>
    <row r="152" spans="1:28" s="5" customFormat="1" ht="24.9" customHeight="1" x14ac:dyDescent="0.3">
      <c r="A152" s="131">
        <v>2</v>
      </c>
      <c r="B152" s="131">
        <v>26</v>
      </c>
      <c r="C152" s="131" t="s">
        <v>219</v>
      </c>
      <c r="D152" s="116" t="s">
        <v>318</v>
      </c>
      <c r="E152" s="132">
        <v>58</v>
      </c>
      <c r="F152" s="115">
        <v>5</v>
      </c>
      <c r="G152" s="116" t="s">
        <v>319</v>
      </c>
      <c r="H152" s="132">
        <v>37</v>
      </c>
      <c r="I152" s="115">
        <v>5</v>
      </c>
      <c r="J152" s="132">
        <v>88</v>
      </c>
      <c r="K152" s="115">
        <v>2</v>
      </c>
      <c r="L152" s="114">
        <f t="shared" si="45"/>
        <v>183</v>
      </c>
      <c r="M152" s="127">
        <f t="shared" si="44"/>
        <v>79</v>
      </c>
      <c r="N152" s="116" t="s">
        <v>320</v>
      </c>
      <c r="O152" s="132">
        <v>34</v>
      </c>
      <c r="P152" s="117">
        <v>5</v>
      </c>
      <c r="Q152" s="116" t="s">
        <v>321</v>
      </c>
      <c r="R152" s="132">
        <v>13.5</v>
      </c>
      <c r="S152" s="117">
        <v>7</v>
      </c>
      <c r="T152" s="132">
        <v>15</v>
      </c>
      <c r="U152" s="115">
        <v>6</v>
      </c>
      <c r="V152" s="130">
        <f t="shared" si="46"/>
        <v>245.5</v>
      </c>
      <c r="W152" s="118">
        <f t="shared" si="47"/>
        <v>149</v>
      </c>
    </row>
    <row r="153" spans="1:28" s="5" customFormat="1" ht="24.9" customHeight="1" x14ac:dyDescent="0.3">
      <c r="A153" s="131">
        <v>4</v>
      </c>
      <c r="B153" s="131">
        <v>27</v>
      </c>
      <c r="C153" s="131" t="s">
        <v>220</v>
      </c>
      <c r="D153" s="116" t="s">
        <v>318</v>
      </c>
      <c r="E153" s="132">
        <v>49</v>
      </c>
      <c r="F153" s="115">
        <v>5</v>
      </c>
      <c r="G153" s="116" t="s">
        <v>319</v>
      </c>
      <c r="H153" s="132">
        <v>41</v>
      </c>
      <c r="I153" s="115">
        <v>5</v>
      </c>
      <c r="J153" s="132">
        <v>57</v>
      </c>
      <c r="K153" s="115">
        <v>5</v>
      </c>
      <c r="L153" s="114">
        <f t="shared" si="45"/>
        <v>147</v>
      </c>
      <c r="M153" s="127">
        <f t="shared" si="44"/>
        <v>157</v>
      </c>
      <c r="N153" s="116" t="s">
        <v>320</v>
      </c>
      <c r="O153" s="132">
        <v>40</v>
      </c>
      <c r="P153" s="117">
        <v>4</v>
      </c>
      <c r="Q153" s="116" t="s">
        <v>321</v>
      </c>
      <c r="R153" s="132">
        <v>35.5</v>
      </c>
      <c r="S153" s="117">
        <v>4</v>
      </c>
      <c r="T153" s="132">
        <v>22</v>
      </c>
      <c r="U153" s="115">
        <v>5</v>
      </c>
      <c r="V153" s="130">
        <f t="shared" si="46"/>
        <v>244.5</v>
      </c>
      <c r="W153" s="118">
        <f t="shared" si="47"/>
        <v>150</v>
      </c>
    </row>
    <row r="154" spans="1:28" ht="24.9" customHeight="1" x14ac:dyDescent="0.3">
      <c r="A154" s="131">
        <v>3</v>
      </c>
      <c r="B154" s="131">
        <v>19</v>
      </c>
      <c r="C154" s="131" t="s">
        <v>221</v>
      </c>
      <c r="D154" s="116" t="s">
        <v>318</v>
      </c>
      <c r="E154" s="132">
        <v>64</v>
      </c>
      <c r="F154" s="115">
        <v>4</v>
      </c>
      <c r="G154" s="116" t="s">
        <v>319</v>
      </c>
      <c r="H154" s="132">
        <v>18</v>
      </c>
      <c r="I154" s="115">
        <v>7</v>
      </c>
      <c r="J154" s="132">
        <v>83</v>
      </c>
      <c r="K154" s="115">
        <v>2</v>
      </c>
      <c r="L154" s="114">
        <f t="shared" si="45"/>
        <v>165</v>
      </c>
      <c r="M154" s="127">
        <f t="shared" si="44"/>
        <v>115</v>
      </c>
      <c r="N154" s="116" t="s">
        <v>320</v>
      </c>
      <c r="O154" s="132">
        <v>39</v>
      </c>
      <c r="P154" s="117">
        <v>4</v>
      </c>
      <c r="Q154" s="116" t="s">
        <v>321</v>
      </c>
      <c r="R154" s="132">
        <v>28</v>
      </c>
      <c r="S154" s="117">
        <v>5</v>
      </c>
      <c r="T154" s="132">
        <v>12</v>
      </c>
      <c r="U154" s="115">
        <v>7</v>
      </c>
      <c r="V154" s="130">
        <f t="shared" si="46"/>
        <v>244</v>
      </c>
      <c r="W154" s="118">
        <f t="shared" si="47"/>
        <v>151</v>
      </c>
      <c r="X154" s="5"/>
      <c r="Y154" s="5"/>
      <c r="Z154" s="5"/>
      <c r="AA154" s="5"/>
      <c r="AB154" s="5"/>
    </row>
    <row r="155" spans="1:28" ht="24.9" customHeight="1" x14ac:dyDescent="0.3">
      <c r="A155" s="131">
        <v>4</v>
      </c>
      <c r="B155" s="131">
        <v>19</v>
      </c>
      <c r="C155" s="131" t="s">
        <v>222</v>
      </c>
      <c r="D155" s="116" t="s">
        <v>318</v>
      </c>
      <c r="E155" s="132">
        <v>53</v>
      </c>
      <c r="F155" s="115">
        <v>5</v>
      </c>
      <c r="G155" s="116" t="s">
        <v>319</v>
      </c>
      <c r="H155" s="132">
        <v>36</v>
      </c>
      <c r="I155" s="115">
        <v>5</v>
      </c>
      <c r="J155" s="132">
        <v>68</v>
      </c>
      <c r="K155" s="115">
        <v>4</v>
      </c>
      <c r="L155" s="114">
        <f t="shared" si="45"/>
        <v>157</v>
      </c>
      <c r="M155" s="127">
        <f t="shared" si="44"/>
        <v>139</v>
      </c>
      <c r="N155" s="116" t="s">
        <v>320</v>
      </c>
      <c r="O155" s="132">
        <v>35.5</v>
      </c>
      <c r="P155" s="117">
        <v>5</v>
      </c>
      <c r="Q155" s="116" t="s">
        <v>321</v>
      </c>
      <c r="R155" s="132">
        <v>24</v>
      </c>
      <c r="S155" s="117">
        <v>5</v>
      </c>
      <c r="T155" s="132">
        <v>27</v>
      </c>
      <c r="U155" s="115">
        <v>4</v>
      </c>
      <c r="V155" s="130">
        <f t="shared" si="46"/>
        <v>243.5</v>
      </c>
      <c r="W155" s="118">
        <f t="shared" si="47"/>
        <v>152</v>
      </c>
      <c r="Y155" s="5"/>
      <c r="Z155" s="5"/>
      <c r="AA155" s="5"/>
      <c r="AB155" s="5"/>
    </row>
    <row r="156" spans="1:28" ht="24.9" customHeight="1" x14ac:dyDescent="0.3">
      <c r="A156" s="131">
        <v>10</v>
      </c>
      <c r="B156" s="131">
        <v>4</v>
      </c>
      <c r="C156" s="131" t="s">
        <v>223</v>
      </c>
      <c r="D156" s="116" t="s">
        <v>318</v>
      </c>
      <c r="E156" s="132">
        <v>50</v>
      </c>
      <c r="F156" s="115">
        <v>5</v>
      </c>
      <c r="G156" s="116" t="s">
        <v>319</v>
      </c>
      <c r="H156" s="132">
        <v>50</v>
      </c>
      <c r="I156" s="115">
        <v>4</v>
      </c>
      <c r="J156" s="132">
        <v>71</v>
      </c>
      <c r="K156" s="115">
        <v>3</v>
      </c>
      <c r="L156" s="114">
        <f t="shared" si="45"/>
        <v>171</v>
      </c>
      <c r="M156" s="127">
        <f t="shared" si="44"/>
        <v>97</v>
      </c>
      <c r="N156" s="116" t="s">
        <v>320</v>
      </c>
      <c r="O156" s="132">
        <v>36</v>
      </c>
      <c r="P156" s="117">
        <v>5</v>
      </c>
      <c r="Q156" s="116" t="s">
        <v>321</v>
      </c>
      <c r="R156" s="132">
        <v>24.5</v>
      </c>
      <c r="S156" s="117">
        <v>5</v>
      </c>
      <c r="T156" s="132">
        <v>12</v>
      </c>
      <c r="U156" s="115">
        <v>7</v>
      </c>
      <c r="V156" s="130">
        <f t="shared" si="46"/>
        <v>243.5</v>
      </c>
      <c r="W156" s="118">
        <f t="shared" si="47"/>
        <v>152</v>
      </c>
      <c r="Y156" s="5"/>
      <c r="Z156" s="5"/>
      <c r="AA156" s="5"/>
      <c r="AB156" s="5"/>
    </row>
    <row r="157" spans="1:28" ht="24.9" customHeight="1" x14ac:dyDescent="0.3">
      <c r="A157" s="131">
        <v>7</v>
      </c>
      <c r="B157" s="131">
        <v>23</v>
      </c>
      <c r="C157" s="131" t="s">
        <v>224</v>
      </c>
      <c r="D157" s="116" t="s">
        <v>318</v>
      </c>
      <c r="E157" s="132">
        <v>48</v>
      </c>
      <c r="F157" s="115">
        <v>5</v>
      </c>
      <c r="G157" s="116" t="s">
        <v>319</v>
      </c>
      <c r="H157" s="132">
        <v>38</v>
      </c>
      <c r="I157" s="115">
        <v>5</v>
      </c>
      <c r="J157" s="132">
        <v>72</v>
      </c>
      <c r="K157" s="115">
        <v>3</v>
      </c>
      <c r="L157" s="114">
        <f t="shared" si="45"/>
        <v>158</v>
      </c>
      <c r="M157" s="127">
        <f t="shared" si="44"/>
        <v>135</v>
      </c>
      <c r="N157" s="116" t="s">
        <v>320</v>
      </c>
      <c r="O157" s="132">
        <v>30.5</v>
      </c>
      <c r="P157" s="117">
        <v>5</v>
      </c>
      <c r="Q157" s="116" t="s">
        <v>321</v>
      </c>
      <c r="R157" s="132">
        <v>14</v>
      </c>
      <c r="S157" s="117">
        <v>7</v>
      </c>
      <c r="T157" s="132">
        <v>40</v>
      </c>
      <c r="U157" s="115">
        <v>1</v>
      </c>
      <c r="V157" s="130">
        <f t="shared" si="46"/>
        <v>242.5</v>
      </c>
      <c r="W157" s="118">
        <f t="shared" si="47"/>
        <v>154</v>
      </c>
      <c r="Y157" s="45"/>
      <c r="Z157" s="45"/>
      <c r="AA157" s="5"/>
      <c r="AB157" s="5"/>
    </row>
    <row r="158" spans="1:28" ht="24.9" customHeight="1" x14ac:dyDescent="0.3">
      <c r="A158" s="131">
        <v>6</v>
      </c>
      <c r="B158" s="131">
        <v>28</v>
      </c>
      <c r="C158" s="131" t="s">
        <v>225</v>
      </c>
      <c r="D158" s="116" t="s">
        <v>318</v>
      </c>
      <c r="E158" s="132">
        <v>46</v>
      </c>
      <c r="F158" s="115">
        <v>6</v>
      </c>
      <c r="G158" s="116" t="s">
        <v>319</v>
      </c>
      <c r="H158" s="132">
        <v>36</v>
      </c>
      <c r="I158" s="115">
        <v>5</v>
      </c>
      <c r="J158" s="132">
        <v>63</v>
      </c>
      <c r="K158" s="115">
        <v>4</v>
      </c>
      <c r="L158" s="114">
        <f t="shared" si="45"/>
        <v>145</v>
      </c>
      <c r="M158" s="127">
        <f t="shared" si="44"/>
        <v>160</v>
      </c>
      <c r="N158" s="116" t="s">
        <v>320</v>
      </c>
      <c r="O158" s="132">
        <v>43.5</v>
      </c>
      <c r="P158" s="117">
        <v>3</v>
      </c>
      <c r="Q158" s="116" t="s">
        <v>321</v>
      </c>
      <c r="R158" s="132">
        <v>29</v>
      </c>
      <c r="S158" s="117">
        <v>4</v>
      </c>
      <c r="T158" s="132">
        <v>24</v>
      </c>
      <c r="U158" s="115">
        <v>5</v>
      </c>
      <c r="V158" s="130">
        <f t="shared" si="46"/>
        <v>241.5</v>
      </c>
      <c r="W158" s="118">
        <f t="shared" si="47"/>
        <v>155</v>
      </c>
      <c r="Y158" s="5"/>
      <c r="Z158" s="5"/>
      <c r="AA158" s="5"/>
      <c r="AB158" s="5"/>
    </row>
    <row r="159" spans="1:28" ht="24.9" customHeight="1" x14ac:dyDescent="0.3">
      <c r="A159" s="131">
        <v>10</v>
      </c>
      <c r="B159" s="131">
        <v>2</v>
      </c>
      <c r="C159" s="131" t="s">
        <v>226</v>
      </c>
      <c r="D159" s="116" t="s">
        <v>318</v>
      </c>
      <c r="E159" s="132">
        <v>40</v>
      </c>
      <c r="F159" s="115">
        <v>6</v>
      </c>
      <c r="G159" s="116" t="s">
        <v>319</v>
      </c>
      <c r="H159" s="132">
        <v>34</v>
      </c>
      <c r="I159" s="115">
        <v>5</v>
      </c>
      <c r="J159" s="132">
        <v>79</v>
      </c>
      <c r="K159" s="115">
        <v>3</v>
      </c>
      <c r="L159" s="114">
        <f t="shared" si="45"/>
        <v>153</v>
      </c>
      <c r="M159" s="127">
        <f t="shared" si="44"/>
        <v>146</v>
      </c>
      <c r="N159" s="116" t="s">
        <v>320</v>
      </c>
      <c r="O159" s="132">
        <v>43.5</v>
      </c>
      <c r="P159" s="117">
        <v>3</v>
      </c>
      <c r="Q159" s="116" t="s">
        <v>321</v>
      </c>
      <c r="R159" s="132">
        <v>25.5</v>
      </c>
      <c r="S159" s="117">
        <v>5</v>
      </c>
      <c r="T159" s="132">
        <v>19</v>
      </c>
      <c r="U159" s="115">
        <v>6</v>
      </c>
      <c r="V159" s="130">
        <f t="shared" si="46"/>
        <v>241</v>
      </c>
      <c r="W159" s="118">
        <f t="shared" si="47"/>
        <v>156</v>
      </c>
      <c r="Y159" s="44"/>
      <c r="Z159" s="44"/>
      <c r="AA159" s="5"/>
      <c r="AB159" s="5"/>
    </row>
    <row r="160" spans="1:28" ht="24.9" customHeight="1" x14ac:dyDescent="0.3">
      <c r="A160" s="131">
        <v>1</v>
      </c>
      <c r="B160" s="131">
        <v>15</v>
      </c>
      <c r="C160" s="131" t="s">
        <v>227</v>
      </c>
      <c r="D160" s="116" t="s">
        <v>318</v>
      </c>
      <c r="E160" s="132">
        <v>37</v>
      </c>
      <c r="F160" s="115">
        <v>6</v>
      </c>
      <c r="G160" s="116" t="s">
        <v>319</v>
      </c>
      <c r="H160" s="132">
        <v>37</v>
      </c>
      <c r="I160" s="115">
        <v>5</v>
      </c>
      <c r="J160" s="132">
        <v>78</v>
      </c>
      <c r="K160" s="115">
        <v>3</v>
      </c>
      <c r="L160" s="114">
        <f t="shared" si="45"/>
        <v>152</v>
      </c>
      <c r="M160" s="127">
        <f t="shared" si="44"/>
        <v>149</v>
      </c>
      <c r="N160" s="116" t="s">
        <v>320</v>
      </c>
      <c r="O160" s="132">
        <v>37.5</v>
      </c>
      <c r="P160" s="117">
        <v>4</v>
      </c>
      <c r="Q160" s="116" t="s">
        <v>321</v>
      </c>
      <c r="R160" s="132">
        <v>21.5</v>
      </c>
      <c r="S160" s="117">
        <v>5</v>
      </c>
      <c r="T160" s="132">
        <v>29</v>
      </c>
      <c r="U160" s="115">
        <v>4</v>
      </c>
      <c r="V160" s="130">
        <f t="shared" si="46"/>
        <v>240</v>
      </c>
      <c r="W160" s="118">
        <f t="shared" si="47"/>
        <v>157</v>
      </c>
      <c r="AA160" s="5"/>
      <c r="AB160" s="5"/>
    </row>
    <row r="161" spans="1:28" ht="24.9" customHeight="1" x14ac:dyDescent="0.3">
      <c r="A161" s="131">
        <v>9</v>
      </c>
      <c r="B161" s="131">
        <v>16</v>
      </c>
      <c r="C161" s="131" t="s">
        <v>228</v>
      </c>
      <c r="D161" s="116" t="s">
        <v>318</v>
      </c>
      <c r="E161" s="132">
        <v>67</v>
      </c>
      <c r="F161" s="115">
        <v>4</v>
      </c>
      <c r="G161" s="116" t="s">
        <v>319</v>
      </c>
      <c r="H161" s="132">
        <v>42</v>
      </c>
      <c r="I161" s="115">
        <v>5</v>
      </c>
      <c r="J161" s="132">
        <v>53</v>
      </c>
      <c r="K161" s="115">
        <v>5</v>
      </c>
      <c r="L161" s="114">
        <f t="shared" si="45"/>
        <v>162</v>
      </c>
      <c r="M161" s="127">
        <f t="shared" si="44"/>
        <v>127</v>
      </c>
      <c r="N161" s="116" t="s">
        <v>320</v>
      </c>
      <c r="O161" s="132">
        <v>33</v>
      </c>
      <c r="P161" s="117">
        <v>5</v>
      </c>
      <c r="Q161" s="116" t="s">
        <v>321</v>
      </c>
      <c r="R161" s="132">
        <v>21</v>
      </c>
      <c r="S161" s="117">
        <v>5</v>
      </c>
      <c r="T161" s="132">
        <v>22</v>
      </c>
      <c r="U161" s="115">
        <v>5</v>
      </c>
      <c r="V161" s="130">
        <f t="shared" si="46"/>
        <v>238</v>
      </c>
      <c r="W161" s="118">
        <f t="shared" si="47"/>
        <v>158</v>
      </c>
      <c r="AA161" s="5"/>
      <c r="AB161" s="5"/>
    </row>
    <row r="162" spans="1:28" ht="24.9" customHeight="1" x14ac:dyDescent="0.3">
      <c r="A162" s="131">
        <v>3</v>
      </c>
      <c r="B162" s="131">
        <v>13</v>
      </c>
      <c r="C162" s="131" t="s">
        <v>229</v>
      </c>
      <c r="D162" s="116" t="s">
        <v>318</v>
      </c>
      <c r="E162" s="132">
        <v>62</v>
      </c>
      <c r="F162" s="115">
        <v>4</v>
      </c>
      <c r="G162" s="116" t="s">
        <v>319</v>
      </c>
      <c r="H162" s="132">
        <v>20</v>
      </c>
      <c r="I162" s="115">
        <v>7</v>
      </c>
      <c r="J162" s="132">
        <v>44</v>
      </c>
      <c r="K162" s="115">
        <v>6</v>
      </c>
      <c r="L162" s="114">
        <f t="shared" si="45"/>
        <v>126</v>
      </c>
      <c r="M162" s="127">
        <f t="shared" si="44"/>
        <v>198</v>
      </c>
      <c r="N162" s="116" t="s">
        <v>320</v>
      </c>
      <c r="O162" s="132">
        <v>45</v>
      </c>
      <c r="P162" s="117">
        <v>3</v>
      </c>
      <c r="Q162" s="116" t="s">
        <v>321</v>
      </c>
      <c r="R162" s="132">
        <v>40</v>
      </c>
      <c r="S162" s="117">
        <v>3</v>
      </c>
      <c r="T162" s="132">
        <v>26</v>
      </c>
      <c r="U162" s="115">
        <v>4</v>
      </c>
      <c r="V162" s="130">
        <f t="shared" si="46"/>
        <v>237</v>
      </c>
      <c r="W162" s="118">
        <f t="shared" si="47"/>
        <v>159</v>
      </c>
      <c r="AA162" s="5"/>
      <c r="AB162" s="5"/>
    </row>
    <row r="163" spans="1:28" ht="24.9" customHeight="1" x14ac:dyDescent="0.3">
      <c r="A163" s="131">
        <v>6</v>
      </c>
      <c r="B163" s="131">
        <v>21</v>
      </c>
      <c r="C163" s="131" t="s">
        <v>230</v>
      </c>
      <c r="D163" s="116" t="s">
        <v>318</v>
      </c>
      <c r="E163" s="132">
        <v>66</v>
      </c>
      <c r="F163" s="115">
        <v>4</v>
      </c>
      <c r="G163" s="116" t="s">
        <v>319</v>
      </c>
      <c r="H163" s="132">
        <v>31</v>
      </c>
      <c r="I163" s="115">
        <v>6</v>
      </c>
      <c r="J163" s="132">
        <v>72</v>
      </c>
      <c r="K163" s="115">
        <v>3</v>
      </c>
      <c r="L163" s="114">
        <f t="shared" si="45"/>
        <v>169</v>
      </c>
      <c r="M163" s="127">
        <f t="shared" si="44"/>
        <v>104</v>
      </c>
      <c r="N163" s="116" t="s">
        <v>320</v>
      </c>
      <c r="O163" s="132">
        <v>36</v>
      </c>
      <c r="P163" s="117">
        <v>5</v>
      </c>
      <c r="Q163" s="116" t="s">
        <v>321</v>
      </c>
      <c r="R163" s="132">
        <v>11</v>
      </c>
      <c r="S163" s="117">
        <v>7</v>
      </c>
      <c r="T163" s="132">
        <v>21</v>
      </c>
      <c r="U163" s="115">
        <v>5</v>
      </c>
      <c r="V163" s="130">
        <f t="shared" si="46"/>
        <v>237</v>
      </c>
      <c r="W163" s="118">
        <f t="shared" si="47"/>
        <v>159</v>
      </c>
      <c r="AA163" s="5"/>
      <c r="AB163" s="5"/>
    </row>
    <row r="164" spans="1:28" ht="24.9" customHeight="1" x14ac:dyDescent="0.3">
      <c r="A164" s="131">
        <v>4</v>
      </c>
      <c r="B164" s="131">
        <v>9</v>
      </c>
      <c r="C164" s="131" t="s">
        <v>231</v>
      </c>
      <c r="D164" s="116" t="s">
        <v>318</v>
      </c>
      <c r="E164" s="132">
        <v>61</v>
      </c>
      <c r="F164" s="115">
        <v>4</v>
      </c>
      <c r="G164" s="116" t="s">
        <v>319</v>
      </c>
      <c r="H164" s="132">
        <v>19</v>
      </c>
      <c r="I164" s="115">
        <v>7</v>
      </c>
      <c r="J164" s="132">
        <v>51</v>
      </c>
      <c r="K164" s="115">
        <v>5</v>
      </c>
      <c r="L164" s="114">
        <f t="shared" si="45"/>
        <v>131</v>
      </c>
      <c r="M164" s="127">
        <f t="shared" si="44"/>
        <v>183</v>
      </c>
      <c r="N164" s="116" t="s">
        <v>320</v>
      </c>
      <c r="O164" s="132">
        <v>42</v>
      </c>
      <c r="P164" s="117">
        <v>4</v>
      </c>
      <c r="Q164" s="116" t="s">
        <v>321</v>
      </c>
      <c r="R164" s="132">
        <v>31.5</v>
      </c>
      <c r="S164" s="117">
        <v>4</v>
      </c>
      <c r="T164" s="132">
        <v>32</v>
      </c>
      <c r="U164" s="115">
        <v>3</v>
      </c>
      <c r="V164" s="130">
        <f t="shared" si="46"/>
        <v>236.5</v>
      </c>
      <c r="W164" s="118">
        <f t="shared" si="47"/>
        <v>161</v>
      </c>
      <c r="AA164" s="5"/>
      <c r="AB164" s="5"/>
    </row>
    <row r="165" spans="1:28" ht="24.9" customHeight="1" x14ac:dyDescent="0.3">
      <c r="A165" s="131">
        <v>2</v>
      </c>
      <c r="B165" s="131">
        <v>23</v>
      </c>
      <c r="C165" s="131" t="s">
        <v>232</v>
      </c>
      <c r="D165" s="116" t="s">
        <v>318</v>
      </c>
      <c r="E165" s="132">
        <v>64</v>
      </c>
      <c r="F165" s="115">
        <v>4</v>
      </c>
      <c r="G165" s="116" t="s">
        <v>319</v>
      </c>
      <c r="H165" s="132">
        <v>16</v>
      </c>
      <c r="I165" s="115">
        <v>7</v>
      </c>
      <c r="J165" s="132">
        <v>59</v>
      </c>
      <c r="K165" s="115">
        <v>5</v>
      </c>
      <c r="L165" s="114">
        <f t="shared" si="45"/>
        <v>139</v>
      </c>
      <c r="M165" s="127">
        <f t="shared" si="44"/>
        <v>168</v>
      </c>
      <c r="N165" s="116" t="s">
        <v>320</v>
      </c>
      <c r="O165" s="132">
        <v>39.5</v>
      </c>
      <c r="P165" s="117">
        <v>4</v>
      </c>
      <c r="Q165" s="116" t="s">
        <v>321</v>
      </c>
      <c r="R165" s="132">
        <v>15.5</v>
      </c>
      <c r="S165" s="117">
        <v>6</v>
      </c>
      <c r="T165" s="132">
        <v>42</v>
      </c>
      <c r="U165" s="115">
        <v>1</v>
      </c>
      <c r="V165" s="130">
        <f t="shared" si="46"/>
        <v>236</v>
      </c>
      <c r="W165" s="118">
        <f t="shared" si="47"/>
        <v>162</v>
      </c>
      <c r="AA165" s="5"/>
      <c r="AB165" s="5"/>
    </row>
    <row r="166" spans="1:28" ht="24.9" customHeight="1" x14ac:dyDescent="0.3">
      <c r="A166" s="131">
        <v>7</v>
      </c>
      <c r="B166" s="131">
        <v>27</v>
      </c>
      <c r="C166" s="131" t="s">
        <v>80</v>
      </c>
      <c r="D166" s="116" t="s">
        <v>318</v>
      </c>
      <c r="E166" s="132">
        <v>44</v>
      </c>
      <c r="F166" s="115">
        <v>6</v>
      </c>
      <c r="G166" s="116" t="s">
        <v>319</v>
      </c>
      <c r="H166" s="132">
        <v>28</v>
      </c>
      <c r="I166" s="115">
        <v>6</v>
      </c>
      <c r="J166" s="132">
        <v>62</v>
      </c>
      <c r="K166" s="115">
        <v>4</v>
      </c>
      <c r="L166" s="114">
        <f t="shared" si="45"/>
        <v>134</v>
      </c>
      <c r="M166" s="127">
        <f t="shared" si="44"/>
        <v>176</v>
      </c>
      <c r="N166" s="116" t="s">
        <v>320</v>
      </c>
      <c r="O166" s="132">
        <v>39</v>
      </c>
      <c r="P166" s="117">
        <v>4</v>
      </c>
      <c r="Q166" s="116" t="s">
        <v>321</v>
      </c>
      <c r="R166" s="132">
        <v>32</v>
      </c>
      <c r="S166" s="117">
        <v>4</v>
      </c>
      <c r="T166" s="132">
        <v>30</v>
      </c>
      <c r="U166" s="115">
        <v>3</v>
      </c>
      <c r="V166" s="130">
        <f t="shared" si="46"/>
        <v>235</v>
      </c>
      <c r="W166" s="118">
        <f t="shared" si="47"/>
        <v>163</v>
      </c>
    </row>
    <row r="167" spans="1:28" ht="24.9" customHeight="1" x14ac:dyDescent="0.3">
      <c r="A167" s="131">
        <v>3</v>
      </c>
      <c r="B167" s="131">
        <v>11</v>
      </c>
      <c r="C167" s="131" t="s">
        <v>233</v>
      </c>
      <c r="D167" s="116" t="s">
        <v>318</v>
      </c>
      <c r="E167" s="132">
        <v>40</v>
      </c>
      <c r="F167" s="115">
        <v>6</v>
      </c>
      <c r="G167" s="116" t="s">
        <v>319</v>
      </c>
      <c r="H167" s="132">
        <v>24</v>
      </c>
      <c r="I167" s="115">
        <v>6</v>
      </c>
      <c r="J167" s="132">
        <v>65</v>
      </c>
      <c r="K167" s="115">
        <v>4</v>
      </c>
      <c r="L167" s="114">
        <f t="shared" si="45"/>
        <v>129</v>
      </c>
      <c r="M167" s="127">
        <f t="shared" si="44"/>
        <v>189</v>
      </c>
      <c r="N167" s="116" t="s">
        <v>320</v>
      </c>
      <c r="O167" s="132">
        <v>40</v>
      </c>
      <c r="P167" s="117">
        <v>4</v>
      </c>
      <c r="Q167" s="116" t="s">
        <v>321</v>
      </c>
      <c r="R167" s="132">
        <v>32.5</v>
      </c>
      <c r="S167" s="117">
        <v>4</v>
      </c>
      <c r="T167" s="132">
        <v>33</v>
      </c>
      <c r="U167" s="115">
        <v>3</v>
      </c>
      <c r="V167" s="130">
        <f t="shared" si="46"/>
        <v>234.5</v>
      </c>
      <c r="W167" s="118">
        <f t="shared" si="47"/>
        <v>164</v>
      </c>
    </row>
    <row r="168" spans="1:28" ht="24.9" customHeight="1" x14ac:dyDescent="0.3">
      <c r="A168" s="131">
        <v>6</v>
      </c>
      <c r="B168" s="131">
        <v>9</v>
      </c>
      <c r="C168" s="131" t="s">
        <v>234</v>
      </c>
      <c r="D168" s="116" t="s">
        <v>318</v>
      </c>
      <c r="E168" s="132">
        <v>51</v>
      </c>
      <c r="F168" s="115">
        <v>5</v>
      </c>
      <c r="G168" s="116" t="s">
        <v>319</v>
      </c>
      <c r="H168" s="132">
        <v>48</v>
      </c>
      <c r="I168" s="115">
        <v>4</v>
      </c>
      <c r="J168" s="132">
        <v>53</v>
      </c>
      <c r="K168" s="115">
        <v>5</v>
      </c>
      <c r="L168" s="114">
        <f t="shared" si="45"/>
        <v>152</v>
      </c>
      <c r="M168" s="127">
        <f t="shared" si="44"/>
        <v>149</v>
      </c>
      <c r="N168" s="116" t="s">
        <v>320</v>
      </c>
      <c r="O168" s="132">
        <v>38.5</v>
      </c>
      <c r="P168" s="117">
        <v>4</v>
      </c>
      <c r="Q168" s="116" t="s">
        <v>321</v>
      </c>
      <c r="R168" s="132">
        <v>12</v>
      </c>
      <c r="S168" s="117">
        <v>7</v>
      </c>
      <c r="T168" s="132">
        <v>32</v>
      </c>
      <c r="U168" s="115">
        <v>3</v>
      </c>
      <c r="V168" s="130">
        <f t="shared" si="46"/>
        <v>234.5</v>
      </c>
      <c r="W168" s="118">
        <f t="shared" si="47"/>
        <v>164</v>
      </c>
    </row>
    <row r="169" spans="1:28" ht="24.9" customHeight="1" x14ac:dyDescent="0.3">
      <c r="A169" s="131">
        <v>2</v>
      </c>
      <c r="B169" s="131">
        <v>15</v>
      </c>
      <c r="C169" s="131" t="s">
        <v>235</v>
      </c>
      <c r="D169" s="116" t="s">
        <v>318</v>
      </c>
      <c r="E169" s="132">
        <v>55</v>
      </c>
      <c r="F169" s="115">
        <v>5</v>
      </c>
      <c r="G169" s="116" t="s">
        <v>319</v>
      </c>
      <c r="H169" s="132">
        <v>23</v>
      </c>
      <c r="I169" s="115">
        <v>6</v>
      </c>
      <c r="J169" s="132">
        <v>48</v>
      </c>
      <c r="K169" s="115">
        <v>6</v>
      </c>
      <c r="L169" s="114">
        <f t="shared" si="45"/>
        <v>126</v>
      </c>
      <c r="M169" s="127">
        <f t="shared" si="44"/>
        <v>198</v>
      </c>
      <c r="N169" s="116" t="s">
        <v>320</v>
      </c>
      <c r="O169" s="132">
        <v>41</v>
      </c>
      <c r="P169" s="117">
        <v>4</v>
      </c>
      <c r="Q169" s="116" t="s">
        <v>321</v>
      </c>
      <c r="R169" s="132">
        <v>20</v>
      </c>
      <c r="S169" s="117">
        <v>5</v>
      </c>
      <c r="T169" s="132">
        <v>47</v>
      </c>
      <c r="U169" s="115">
        <v>1</v>
      </c>
      <c r="V169" s="130">
        <f t="shared" si="46"/>
        <v>234</v>
      </c>
      <c r="W169" s="118">
        <f t="shared" si="47"/>
        <v>166</v>
      </c>
      <c r="Y169" s="44"/>
      <c r="Z169" s="44"/>
    </row>
    <row r="170" spans="1:28" ht="24.9" customHeight="1" x14ac:dyDescent="0.3">
      <c r="A170" s="131">
        <v>4</v>
      </c>
      <c r="B170" s="131">
        <v>21</v>
      </c>
      <c r="C170" s="131" t="s">
        <v>236</v>
      </c>
      <c r="D170" s="116" t="s">
        <v>318</v>
      </c>
      <c r="E170" s="132">
        <v>59</v>
      </c>
      <c r="F170" s="115">
        <v>5</v>
      </c>
      <c r="G170" s="116" t="s">
        <v>319</v>
      </c>
      <c r="H170" s="132">
        <v>28</v>
      </c>
      <c r="I170" s="115">
        <v>6</v>
      </c>
      <c r="J170" s="132">
        <v>49</v>
      </c>
      <c r="K170" s="115">
        <v>6</v>
      </c>
      <c r="L170" s="114">
        <f t="shared" si="45"/>
        <v>136</v>
      </c>
      <c r="M170" s="127">
        <f t="shared" si="44"/>
        <v>173</v>
      </c>
      <c r="N170" s="116" t="s">
        <v>320</v>
      </c>
      <c r="O170" s="132">
        <v>32</v>
      </c>
      <c r="P170" s="117">
        <v>5</v>
      </c>
      <c r="Q170" s="116" t="s">
        <v>321</v>
      </c>
      <c r="R170" s="132">
        <v>25</v>
      </c>
      <c r="S170" s="117">
        <v>5</v>
      </c>
      <c r="T170" s="132">
        <v>41</v>
      </c>
      <c r="U170" s="115">
        <v>1</v>
      </c>
      <c r="V170" s="130">
        <f t="shared" si="46"/>
        <v>234</v>
      </c>
      <c r="W170" s="118">
        <f t="shared" si="47"/>
        <v>166</v>
      </c>
    </row>
    <row r="171" spans="1:28" ht="24.9" customHeight="1" x14ac:dyDescent="0.3">
      <c r="A171" s="131">
        <v>1</v>
      </c>
      <c r="B171" s="131">
        <v>11</v>
      </c>
      <c r="C171" s="131" t="s">
        <v>237</v>
      </c>
      <c r="D171" s="116" t="s">
        <v>318</v>
      </c>
      <c r="E171" s="132">
        <v>29</v>
      </c>
      <c r="F171" s="115">
        <v>7</v>
      </c>
      <c r="G171" s="116" t="s">
        <v>319</v>
      </c>
      <c r="H171" s="132">
        <v>47</v>
      </c>
      <c r="I171" s="115">
        <v>4</v>
      </c>
      <c r="J171" s="132">
        <v>58</v>
      </c>
      <c r="K171" s="115">
        <v>5</v>
      </c>
      <c r="L171" s="114">
        <f t="shared" si="45"/>
        <v>134</v>
      </c>
      <c r="M171" s="127">
        <f t="shared" si="44"/>
        <v>176</v>
      </c>
      <c r="N171" s="116" t="s">
        <v>320</v>
      </c>
      <c r="O171" s="132">
        <v>35</v>
      </c>
      <c r="P171" s="117">
        <v>5</v>
      </c>
      <c r="Q171" s="116" t="s">
        <v>321</v>
      </c>
      <c r="R171" s="132">
        <v>42.5</v>
      </c>
      <c r="S171" s="117">
        <v>3</v>
      </c>
      <c r="T171" s="132">
        <v>20</v>
      </c>
      <c r="U171" s="115">
        <v>5</v>
      </c>
      <c r="V171" s="130">
        <f t="shared" si="46"/>
        <v>231.5</v>
      </c>
      <c r="W171" s="118">
        <f t="shared" si="47"/>
        <v>168</v>
      </c>
    </row>
    <row r="172" spans="1:28" ht="24.9" customHeight="1" x14ac:dyDescent="0.3">
      <c r="A172" s="131">
        <v>3</v>
      </c>
      <c r="B172" s="131">
        <v>20</v>
      </c>
      <c r="C172" s="131" t="s">
        <v>170</v>
      </c>
      <c r="D172" s="116" t="s">
        <v>318</v>
      </c>
      <c r="E172" s="132">
        <v>34</v>
      </c>
      <c r="F172" s="115">
        <v>6</v>
      </c>
      <c r="G172" s="116" t="s">
        <v>319</v>
      </c>
      <c r="H172" s="132">
        <v>31</v>
      </c>
      <c r="I172" s="115">
        <v>6</v>
      </c>
      <c r="J172" s="132">
        <v>62</v>
      </c>
      <c r="K172" s="115">
        <v>4</v>
      </c>
      <c r="L172" s="114">
        <f t="shared" si="45"/>
        <v>127</v>
      </c>
      <c r="M172" s="127">
        <f t="shared" si="44"/>
        <v>195</v>
      </c>
      <c r="N172" s="116" t="s">
        <v>320</v>
      </c>
      <c r="O172" s="132">
        <v>37</v>
      </c>
      <c r="P172" s="117">
        <v>4</v>
      </c>
      <c r="Q172" s="116" t="s">
        <v>321</v>
      </c>
      <c r="R172" s="132">
        <v>30</v>
      </c>
      <c r="S172" s="117">
        <v>4</v>
      </c>
      <c r="T172" s="132">
        <v>37</v>
      </c>
      <c r="U172" s="115">
        <v>2</v>
      </c>
      <c r="V172" s="130">
        <f t="shared" si="46"/>
        <v>231</v>
      </c>
      <c r="W172" s="118">
        <f t="shared" si="47"/>
        <v>169</v>
      </c>
      <c r="Y172" s="44"/>
      <c r="Z172" s="44"/>
    </row>
    <row r="173" spans="1:28" ht="24.9" customHeight="1" x14ac:dyDescent="0.3">
      <c r="A173" s="131">
        <v>8</v>
      </c>
      <c r="B173" s="131">
        <v>17</v>
      </c>
      <c r="C173" s="131" t="s">
        <v>238</v>
      </c>
      <c r="D173" s="116" t="s">
        <v>318</v>
      </c>
      <c r="E173" s="132">
        <v>41</v>
      </c>
      <c r="F173" s="115">
        <v>6</v>
      </c>
      <c r="G173" s="116" t="s">
        <v>319</v>
      </c>
      <c r="H173" s="132">
        <v>28</v>
      </c>
      <c r="I173" s="115">
        <v>6</v>
      </c>
      <c r="J173" s="132">
        <v>48</v>
      </c>
      <c r="K173" s="115">
        <v>6</v>
      </c>
      <c r="L173" s="114">
        <f t="shared" si="45"/>
        <v>117</v>
      </c>
      <c r="M173" s="127">
        <f t="shared" si="44"/>
        <v>213</v>
      </c>
      <c r="N173" s="116" t="s">
        <v>320</v>
      </c>
      <c r="O173" s="132">
        <v>36.5</v>
      </c>
      <c r="P173" s="117">
        <v>5</v>
      </c>
      <c r="Q173" s="116" t="s">
        <v>321</v>
      </c>
      <c r="R173" s="132">
        <v>30.5</v>
      </c>
      <c r="S173" s="117">
        <v>4</v>
      </c>
      <c r="T173" s="132">
        <v>44</v>
      </c>
      <c r="U173" s="115">
        <v>1</v>
      </c>
      <c r="V173" s="130">
        <f t="shared" si="46"/>
        <v>228</v>
      </c>
      <c r="W173" s="118">
        <f t="shared" si="47"/>
        <v>170</v>
      </c>
    </row>
    <row r="174" spans="1:28" ht="24.9" customHeight="1" x14ac:dyDescent="0.3">
      <c r="A174" s="131">
        <v>2</v>
      </c>
      <c r="B174" s="131">
        <v>28</v>
      </c>
      <c r="C174" s="131" t="s">
        <v>239</v>
      </c>
      <c r="D174" s="116" t="s">
        <v>318</v>
      </c>
      <c r="E174" s="132">
        <v>36</v>
      </c>
      <c r="F174" s="115">
        <v>6</v>
      </c>
      <c r="G174" s="116" t="s">
        <v>319</v>
      </c>
      <c r="H174" s="132">
        <v>31</v>
      </c>
      <c r="I174" s="115">
        <v>6</v>
      </c>
      <c r="J174" s="132">
        <v>48</v>
      </c>
      <c r="K174" s="115">
        <v>6</v>
      </c>
      <c r="L174" s="114">
        <f t="shared" si="45"/>
        <v>115</v>
      </c>
      <c r="M174" s="127">
        <f t="shared" si="44"/>
        <v>215</v>
      </c>
      <c r="N174" s="116" t="s">
        <v>320</v>
      </c>
      <c r="O174" s="132">
        <v>41</v>
      </c>
      <c r="P174" s="117">
        <v>4</v>
      </c>
      <c r="Q174" s="116" t="s">
        <v>321</v>
      </c>
      <c r="R174" s="132">
        <v>26.5</v>
      </c>
      <c r="S174" s="117">
        <v>5</v>
      </c>
      <c r="T174" s="132">
        <v>45</v>
      </c>
      <c r="U174" s="115">
        <v>1</v>
      </c>
      <c r="V174" s="130">
        <f t="shared" si="46"/>
        <v>227.5</v>
      </c>
      <c r="W174" s="118">
        <f t="shared" si="47"/>
        <v>171</v>
      </c>
    </row>
    <row r="175" spans="1:28" ht="24.9" customHeight="1" x14ac:dyDescent="0.3">
      <c r="A175" s="131">
        <v>3</v>
      </c>
      <c r="B175" s="131">
        <v>24</v>
      </c>
      <c r="C175" s="131" t="s">
        <v>240</v>
      </c>
      <c r="D175" s="116" t="s">
        <v>318</v>
      </c>
      <c r="E175" s="132">
        <v>50</v>
      </c>
      <c r="F175" s="115">
        <v>5</v>
      </c>
      <c r="G175" s="116" t="s">
        <v>319</v>
      </c>
      <c r="H175" s="132">
        <v>38</v>
      </c>
      <c r="I175" s="115">
        <v>5</v>
      </c>
      <c r="J175" s="132">
        <v>39</v>
      </c>
      <c r="K175" s="115">
        <v>7</v>
      </c>
      <c r="L175" s="114">
        <f t="shared" si="45"/>
        <v>127</v>
      </c>
      <c r="M175" s="127">
        <f t="shared" si="44"/>
        <v>195</v>
      </c>
      <c r="N175" s="116" t="s">
        <v>320</v>
      </c>
      <c r="O175" s="132">
        <v>33</v>
      </c>
      <c r="P175" s="117">
        <v>5</v>
      </c>
      <c r="Q175" s="116" t="s">
        <v>321</v>
      </c>
      <c r="R175" s="132">
        <v>29</v>
      </c>
      <c r="S175" s="117">
        <v>4</v>
      </c>
      <c r="T175" s="132">
        <v>38</v>
      </c>
      <c r="U175" s="115">
        <v>2</v>
      </c>
      <c r="V175" s="130">
        <f t="shared" si="46"/>
        <v>227</v>
      </c>
      <c r="W175" s="118">
        <f t="shared" si="47"/>
        <v>172</v>
      </c>
    </row>
    <row r="176" spans="1:28" ht="24.9" customHeight="1" x14ac:dyDescent="0.3">
      <c r="A176" s="131">
        <v>7</v>
      </c>
      <c r="B176" s="131">
        <v>7</v>
      </c>
      <c r="C176" s="131" t="s">
        <v>241</v>
      </c>
      <c r="D176" s="116" t="s">
        <v>318</v>
      </c>
      <c r="E176" s="132">
        <v>40</v>
      </c>
      <c r="F176" s="115">
        <v>6</v>
      </c>
      <c r="G176" s="116" t="s">
        <v>319</v>
      </c>
      <c r="H176" s="132">
        <v>38</v>
      </c>
      <c r="I176" s="115">
        <v>5</v>
      </c>
      <c r="J176" s="132">
        <v>72</v>
      </c>
      <c r="K176" s="115">
        <v>3</v>
      </c>
      <c r="L176" s="114">
        <f t="shared" si="45"/>
        <v>150</v>
      </c>
      <c r="M176" s="127">
        <f t="shared" si="44"/>
        <v>154</v>
      </c>
      <c r="N176" s="116" t="s">
        <v>320</v>
      </c>
      <c r="O176" s="132">
        <v>28.5</v>
      </c>
      <c r="P176" s="117">
        <v>6</v>
      </c>
      <c r="Q176" s="116" t="s">
        <v>321</v>
      </c>
      <c r="R176" s="132">
        <v>18.5</v>
      </c>
      <c r="S176" s="117">
        <v>6</v>
      </c>
      <c r="T176" s="132">
        <v>29</v>
      </c>
      <c r="U176" s="115">
        <v>4</v>
      </c>
      <c r="V176" s="130">
        <f t="shared" si="46"/>
        <v>226</v>
      </c>
      <c r="W176" s="118">
        <f t="shared" si="47"/>
        <v>173</v>
      </c>
    </row>
    <row r="177" spans="1:26" ht="24.9" customHeight="1" x14ac:dyDescent="0.3">
      <c r="A177" s="131">
        <v>1</v>
      </c>
      <c r="B177" s="131">
        <v>4</v>
      </c>
      <c r="C177" s="131" t="s">
        <v>12</v>
      </c>
      <c r="D177" s="116" t="s">
        <v>318</v>
      </c>
      <c r="E177" s="132">
        <v>42</v>
      </c>
      <c r="F177" s="115">
        <v>6</v>
      </c>
      <c r="G177" s="116" t="s">
        <v>319</v>
      </c>
      <c r="H177" s="132">
        <v>55</v>
      </c>
      <c r="I177" s="115">
        <v>3</v>
      </c>
      <c r="J177" s="132">
        <v>48</v>
      </c>
      <c r="K177" s="115">
        <v>6</v>
      </c>
      <c r="L177" s="114">
        <f t="shared" si="45"/>
        <v>145</v>
      </c>
      <c r="M177" s="127">
        <f t="shared" si="44"/>
        <v>160</v>
      </c>
      <c r="N177" s="116" t="s">
        <v>320</v>
      </c>
      <c r="O177" s="132">
        <v>30</v>
      </c>
      <c r="P177" s="117">
        <v>5</v>
      </c>
      <c r="Q177" s="116" t="s">
        <v>321</v>
      </c>
      <c r="R177" s="132">
        <v>25.5</v>
      </c>
      <c r="S177" s="117">
        <v>5</v>
      </c>
      <c r="T177" s="132">
        <v>24</v>
      </c>
      <c r="U177" s="115">
        <v>5</v>
      </c>
      <c r="V177" s="130">
        <f t="shared" si="46"/>
        <v>224.5</v>
      </c>
      <c r="W177" s="118">
        <f t="shared" si="47"/>
        <v>174</v>
      </c>
      <c r="Y177" s="44"/>
      <c r="Z177" s="44"/>
    </row>
    <row r="178" spans="1:26" ht="24.9" customHeight="1" x14ac:dyDescent="0.3">
      <c r="A178" s="131">
        <v>6</v>
      </c>
      <c r="B178" s="131">
        <v>4</v>
      </c>
      <c r="C178" s="131" t="s">
        <v>27</v>
      </c>
      <c r="D178" s="116" t="s">
        <v>318</v>
      </c>
      <c r="E178" s="132">
        <v>60</v>
      </c>
      <c r="F178" s="115">
        <v>5</v>
      </c>
      <c r="G178" s="116" t="s">
        <v>319</v>
      </c>
      <c r="H178" s="132">
        <v>26</v>
      </c>
      <c r="I178" s="115">
        <v>6</v>
      </c>
      <c r="J178" s="132">
        <v>74</v>
      </c>
      <c r="K178" s="115">
        <v>3</v>
      </c>
      <c r="L178" s="114">
        <f t="shared" si="45"/>
        <v>160</v>
      </c>
      <c r="M178" s="127">
        <f t="shared" si="44"/>
        <v>131</v>
      </c>
      <c r="N178" s="116" t="s">
        <v>320</v>
      </c>
      <c r="O178" s="132">
        <v>29.5</v>
      </c>
      <c r="P178" s="117">
        <v>5</v>
      </c>
      <c r="Q178" s="116" t="s">
        <v>321</v>
      </c>
      <c r="R178" s="132">
        <v>21</v>
      </c>
      <c r="S178" s="117">
        <v>5</v>
      </c>
      <c r="T178" s="132">
        <v>14</v>
      </c>
      <c r="U178" s="115">
        <v>7</v>
      </c>
      <c r="V178" s="130">
        <f t="shared" si="46"/>
        <v>224.5</v>
      </c>
      <c r="W178" s="118">
        <f t="shared" si="47"/>
        <v>174</v>
      </c>
    </row>
    <row r="179" spans="1:26" ht="24.9" customHeight="1" x14ac:dyDescent="0.3">
      <c r="A179" s="131">
        <v>8</v>
      </c>
      <c r="B179" s="131">
        <v>19</v>
      </c>
      <c r="C179" s="131" t="s">
        <v>242</v>
      </c>
      <c r="D179" s="116" t="s">
        <v>318</v>
      </c>
      <c r="E179" s="132">
        <v>49</v>
      </c>
      <c r="F179" s="115">
        <v>5</v>
      </c>
      <c r="G179" s="116" t="s">
        <v>319</v>
      </c>
      <c r="H179" s="132">
        <v>29</v>
      </c>
      <c r="I179" s="115">
        <v>6</v>
      </c>
      <c r="J179" s="132">
        <v>62</v>
      </c>
      <c r="K179" s="115">
        <v>4</v>
      </c>
      <c r="L179" s="114">
        <f t="shared" si="45"/>
        <v>140</v>
      </c>
      <c r="M179" s="127">
        <f t="shared" si="44"/>
        <v>167</v>
      </c>
      <c r="N179" s="116" t="s">
        <v>320</v>
      </c>
      <c r="O179" s="132">
        <v>35</v>
      </c>
      <c r="P179" s="117">
        <v>5</v>
      </c>
      <c r="Q179" s="116" t="s">
        <v>321</v>
      </c>
      <c r="R179" s="132">
        <v>22.5</v>
      </c>
      <c r="S179" s="117">
        <v>5</v>
      </c>
      <c r="T179" s="132">
        <v>26</v>
      </c>
      <c r="U179" s="115">
        <v>4</v>
      </c>
      <c r="V179" s="130">
        <f t="shared" si="46"/>
        <v>223.5</v>
      </c>
      <c r="W179" s="118">
        <f t="shared" si="47"/>
        <v>176</v>
      </c>
    </row>
    <row r="180" spans="1:26" ht="24.9" customHeight="1" x14ac:dyDescent="0.3">
      <c r="A180" s="131">
        <v>2</v>
      </c>
      <c r="B180" s="131">
        <v>1</v>
      </c>
      <c r="C180" s="131" t="s">
        <v>12</v>
      </c>
      <c r="D180" s="116" t="s">
        <v>318</v>
      </c>
      <c r="E180" s="132">
        <v>45</v>
      </c>
      <c r="F180" s="115">
        <v>6</v>
      </c>
      <c r="G180" s="116" t="s">
        <v>319</v>
      </c>
      <c r="H180" s="132">
        <v>63</v>
      </c>
      <c r="I180" s="115">
        <v>3</v>
      </c>
      <c r="J180" s="132">
        <v>52</v>
      </c>
      <c r="K180" s="115">
        <v>5</v>
      </c>
      <c r="L180" s="114">
        <f t="shared" si="45"/>
        <v>160</v>
      </c>
      <c r="M180" s="127">
        <f t="shared" si="44"/>
        <v>131</v>
      </c>
      <c r="N180" s="116" t="s">
        <v>320</v>
      </c>
      <c r="O180" s="132">
        <v>23.5</v>
      </c>
      <c r="P180" s="117">
        <v>6</v>
      </c>
      <c r="Q180" s="116" t="s">
        <v>321</v>
      </c>
      <c r="R180" s="132">
        <v>26</v>
      </c>
      <c r="S180" s="117">
        <v>5</v>
      </c>
      <c r="T180" s="132">
        <v>13</v>
      </c>
      <c r="U180" s="115">
        <v>7</v>
      </c>
      <c r="V180" s="130">
        <f t="shared" si="46"/>
        <v>222.5</v>
      </c>
      <c r="W180" s="118">
        <f t="shared" si="47"/>
        <v>177</v>
      </c>
    </row>
    <row r="181" spans="1:26" ht="24.9" customHeight="1" x14ac:dyDescent="0.3">
      <c r="A181" s="131">
        <v>9</v>
      </c>
      <c r="B181" s="131">
        <v>10</v>
      </c>
      <c r="C181" s="131" t="s">
        <v>243</v>
      </c>
      <c r="D181" s="116" t="s">
        <v>318</v>
      </c>
      <c r="E181" s="132">
        <v>39</v>
      </c>
      <c r="F181" s="115">
        <v>6</v>
      </c>
      <c r="G181" s="116" t="s">
        <v>319</v>
      </c>
      <c r="H181" s="132">
        <v>31</v>
      </c>
      <c r="I181" s="115">
        <v>6</v>
      </c>
      <c r="J181" s="132">
        <v>43</v>
      </c>
      <c r="K181" s="115">
        <v>6</v>
      </c>
      <c r="L181" s="114">
        <f t="shared" si="45"/>
        <v>113</v>
      </c>
      <c r="M181" s="127">
        <f t="shared" si="44"/>
        <v>217</v>
      </c>
      <c r="N181" s="116" t="s">
        <v>320</v>
      </c>
      <c r="O181" s="132">
        <v>37</v>
      </c>
      <c r="P181" s="117">
        <v>4</v>
      </c>
      <c r="Q181" s="116" t="s">
        <v>321</v>
      </c>
      <c r="R181" s="132">
        <v>34</v>
      </c>
      <c r="S181" s="117">
        <v>4</v>
      </c>
      <c r="T181" s="132">
        <v>37</v>
      </c>
      <c r="U181" s="115">
        <v>2</v>
      </c>
      <c r="V181" s="130">
        <f t="shared" si="46"/>
        <v>221</v>
      </c>
      <c r="W181" s="118">
        <f t="shared" si="47"/>
        <v>178</v>
      </c>
    </row>
    <row r="182" spans="1:26" ht="24.9" customHeight="1" x14ac:dyDescent="0.3">
      <c r="A182" s="131">
        <v>5</v>
      </c>
      <c r="B182" s="131">
        <v>27</v>
      </c>
      <c r="C182" s="131" t="s">
        <v>244</v>
      </c>
      <c r="D182" s="116" t="s">
        <v>318</v>
      </c>
      <c r="E182" s="132">
        <v>31</v>
      </c>
      <c r="F182" s="115">
        <v>7</v>
      </c>
      <c r="G182" s="116" t="s">
        <v>319</v>
      </c>
      <c r="H182" s="132">
        <v>49</v>
      </c>
      <c r="I182" s="115">
        <v>4</v>
      </c>
      <c r="J182" s="132">
        <v>51</v>
      </c>
      <c r="K182" s="115">
        <v>5</v>
      </c>
      <c r="L182" s="114">
        <f t="shared" si="45"/>
        <v>131</v>
      </c>
      <c r="M182" s="127">
        <f t="shared" si="44"/>
        <v>183</v>
      </c>
      <c r="N182" s="116" t="s">
        <v>320</v>
      </c>
      <c r="O182" s="132">
        <v>33</v>
      </c>
      <c r="P182" s="117">
        <v>5</v>
      </c>
      <c r="Q182" s="116" t="s">
        <v>321</v>
      </c>
      <c r="R182" s="132">
        <v>33</v>
      </c>
      <c r="S182" s="117">
        <v>4</v>
      </c>
      <c r="T182" s="132">
        <v>23</v>
      </c>
      <c r="U182" s="115">
        <v>5</v>
      </c>
      <c r="V182" s="130">
        <f t="shared" si="46"/>
        <v>220</v>
      </c>
      <c r="W182" s="118">
        <f t="shared" si="47"/>
        <v>179</v>
      </c>
    </row>
    <row r="183" spans="1:26" ht="24.9" customHeight="1" x14ac:dyDescent="0.3">
      <c r="A183" s="131">
        <v>1</v>
      </c>
      <c r="B183" s="131">
        <v>7</v>
      </c>
      <c r="C183" s="131" t="s">
        <v>245</v>
      </c>
      <c r="D183" s="116" t="s">
        <v>318</v>
      </c>
      <c r="E183" s="132">
        <v>66</v>
      </c>
      <c r="F183" s="115">
        <v>4</v>
      </c>
      <c r="G183" s="116" t="s">
        <v>319</v>
      </c>
      <c r="H183" s="132">
        <v>26</v>
      </c>
      <c r="I183" s="115">
        <v>6</v>
      </c>
      <c r="J183" s="132">
        <v>66</v>
      </c>
      <c r="K183" s="115">
        <v>4</v>
      </c>
      <c r="L183" s="114">
        <f t="shared" si="45"/>
        <v>158</v>
      </c>
      <c r="M183" s="127">
        <f t="shared" si="44"/>
        <v>135</v>
      </c>
      <c r="N183" s="116" t="s">
        <v>320</v>
      </c>
      <c r="O183" s="132">
        <v>13.5</v>
      </c>
      <c r="P183" s="117">
        <v>7</v>
      </c>
      <c r="Q183" s="116" t="s">
        <v>321</v>
      </c>
      <c r="R183" s="132">
        <v>33.5</v>
      </c>
      <c r="S183" s="117">
        <v>4</v>
      </c>
      <c r="T183" s="132">
        <v>14</v>
      </c>
      <c r="U183" s="115">
        <v>7</v>
      </c>
      <c r="V183" s="130">
        <f t="shared" si="46"/>
        <v>219</v>
      </c>
      <c r="W183" s="118">
        <f t="shared" si="47"/>
        <v>180</v>
      </c>
    </row>
    <row r="184" spans="1:26" ht="24.9" customHeight="1" x14ac:dyDescent="0.3">
      <c r="A184" s="131">
        <v>5</v>
      </c>
      <c r="B184" s="131">
        <v>11</v>
      </c>
      <c r="C184" s="131" t="s">
        <v>246</v>
      </c>
      <c r="D184" s="116" t="s">
        <v>318</v>
      </c>
      <c r="E184" s="132">
        <v>56</v>
      </c>
      <c r="F184" s="115">
        <v>5</v>
      </c>
      <c r="G184" s="116" t="s">
        <v>319</v>
      </c>
      <c r="H184" s="132">
        <v>32</v>
      </c>
      <c r="I184" s="115">
        <v>5</v>
      </c>
      <c r="J184" s="132">
        <v>53</v>
      </c>
      <c r="K184" s="115">
        <v>5</v>
      </c>
      <c r="L184" s="114">
        <f t="shared" si="45"/>
        <v>141</v>
      </c>
      <c r="M184" s="127">
        <f t="shared" si="44"/>
        <v>166</v>
      </c>
      <c r="N184" s="116" t="s">
        <v>320</v>
      </c>
      <c r="O184" s="132">
        <v>28</v>
      </c>
      <c r="P184" s="117">
        <v>6</v>
      </c>
      <c r="Q184" s="116" t="s">
        <v>321</v>
      </c>
      <c r="R184" s="132">
        <v>23</v>
      </c>
      <c r="S184" s="117">
        <v>5</v>
      </c>
      <c r="T184" s="132">
        <v>27</v>
      </c>
      <c r="U184" s="115">
        <v>4</v>
      </c>
      <c r="V184" s="130">
        <f t="shared" si="46"/>
        <v>219</v>
      </c>
      <c r="W184" s="118">
        <f t="shared" si="47"/>
        <v>180</v>
      </c>
    </row>
    <row r="185" spans="1:26" ht="24.9" customHeight="1" x14ac:dyDescent="0.3">
      <c r="A185" s="131">
        <v>4</v>
      </c>
      <c r="B185" s="131">
        <v>6</v>
      </c>
      <c r="C185" s="131" t="s">
        <v>247</v>
      </c>
      <c r="D185" s="116" t="s">
        <v>318</v>
      </c>
      <c r="E185" s="132">
        <v>61</v>
      </c>
      <c r="F185" s="115">
        <v>4</v>
      </c>
      <c r="G185" s="116" t="s">
        <v>319</v>
      </c>
      <c r="H185" s="132">
        <v>12</v>
      </c>
      <c r="I185" s="115">
        <v>8</v>
      </c>
      <c r="J185" s="132">
        <v>58</v>
      </c>
      <c r="K185" s="115">
        <v>5</v>
      </c>
      <c r="L185" s="114">
        <f t="shared" si="45"/>
        <v>131</v>
      </c>
      <c r="M185" s="127">
        <f t="shared" si="44"/>
        <v>183</v>
      </c>
      <c r="N185" s="116" t="s">
        <v>320</v>
      </c>
      <c r="O185" s="132">
        <v>38.5</v>
      </c>
      <c r="P185" s="117">
        <v>4</v>
      </c>
      <c r="Q185" s="116" t="s">
        <v>321</v>
      </c>
      <c r="R185" s="132">
        <v>16.5</v>
      </c>
      <c r="S185" s="117">
        <v>6</v>
      </c>
      <c r="T185" s="132">
        <v>32</v>
      </c>
      <c r="U185" s="115">
        <v>3</v>
      </c>
      <c r="V185" s="130">
        <f t="shared" si="46"/>
        <v>218</v>
      </c>
      <c r="W185" s="118">
        <f t="shared" si="47"/>
        <v>182</v>
      </c>
    </row>
    <row r="186" spans="1:26" s="109" customFormat="1" ht="24.9" customHeight="1" x14ac:dyDescent="0.3">
      <c r="A186" s="131">
        <v>1</v>
      </c>
      <c r="B186" s="131">
        <v>19</v>
      </c>
      <c r="C186" s="131" t="s">
        <v>248</v>
      </c>
      <c r="D186" s="116" t="s">
        <v>318</v>
      </c>
      <c r="E186" s="132">
        <v>42</v>
      </c>
      <c r="F186" s="115">
        <v>6</v>
      </c>
      <c r="G186" s="116" t="s">
        <v>319</v>
      </c>
      <c r="H186" s="132">
        <v>22</v>
      </c>
      <c r="I186" s="115">
        <v>6</v>
      </c>
      <c r="J186" s="132">
        <v>67</v>
      </c>
      <c r="K186" s="115">
        <v>4</v>
      </c>
      <c r="L186" s="114">
        <f t="shared" si="45"/>
        <v>131</v>
      </c>
      <c r="M186" s="127">
        <f t="shared" si="44"/>
        <v>183</v>
      </c>
      <c r="N186" s="116" t="s">
        <v>320</v>
      </c>
      <c r="O186" s="132">
        <v>34</v>
      </c>
      <c r="P186" s="117">
        <v>5</v>
      </c>
      <c r="Q186" s="116" t="s">
        <v>321</v>
      </c>
      <c r="R186" s="132">
        <v>24.5</v>
      </c>
      <c r="S186" s="117">
        <v>5</v>
      </c>
      <c r="T186" s="132">
        <v>27</v>
      </c>
      <c r="U186" s="115">
        <v>4</v>
      </c>
      <c r="V186" s="130">
        <f t="shared" si="46"/>
        <v>216.5</v>
      </c>
      <c r="W186" s="118">
        <f t="shared" si="47"/>
        <v>183</v>
      </c>
    </row>
    <row r="187" spans="1:26" ht="24.9" customHeight="1" x14ac:dyDescent="0.3">
      <c r="A187" s="131">
        <v>7</v>
      </c>
      <c r="B187" s="131">
        <v>10</v>
      </c>
      <c r="C187" s="131" t="s">
        <v>249</v>
      </c>
      <c r="D187" s="116" t="s">
        <v>318</v>
      </c>
      <c r="E187" s="132">
        <v>30</v>
      </c>
      <c r="F187" s="115">
        <v>7</v>
      </c>
      <c r="G187" s="116" t="s">
        <v>319</v>
      </c>
      <c r="H187" s="132">
        <v>31</v>
      </c>
      <c r="I187" s="115">
        <v>6</v>
      </c>
      <c r="J187" s="132">
        <v>59</v>
      </c>
      <c r="K187" s="115">
        <v>5</v>
      </c>
      <c r="L187" s="114">
        <f t="shared" si="45"/>
        <v>120</v>
      </c>
      <c r="M187" s="127">
        <f t="shared" si="44"/>
        <v>208</v>
      </c>
      <c r="N187" s="116" t="s">
        <v>320</v>
      </c>
      <c r="O187" s="132">
        <v>22.5</v>
      </c>
      <c r="P187" s="117">
        <v>6</v>
      </c>
      <c r="Q187" s="116" t="s">
        <v>321</v>
      </c>
      <c r="R187" s="132">
        <v>39</v>
      </c>
      <c r="S187" s="117">
        <v>3</v>
      </c>
      <c r="T187" s="132">
        <v>35</v>
      </c>
      <c r="U187" s="115">
        <v>2</v>
      </c>
      <c r="V187" s="130">
        <f t="shared" si="46"/>
        <v>216.5</v>
      </c>
      <c r="W187" s="118">
        <f t="shared" si="47"/>
        <v>183</v>
      </c>
      <c r="Y187" s="44"/>
      <c r="Z187" s="44"/>
    </row>
    <row r="188" spans="1:26" ht="24.9" customHeight="1" x14ac:dyDescent="0.3">
      <c r="A188" s="131">
        <v>7</v>
      </c>
      <c r="B188" s="131">
        <v>8</v>
      </c>
      <c r="C188" s="131" t="s">
        <v>250</v>
      </c>
      <c r="D188" s="116" t="s">
        <v>318</v>
      </c>
      <c r="E188" s="132">
        <v>50</v>
      </c>
      <c r="F188" s="115">
        <v>5</v>
      </c>
      <c r="G188" s="116" t="s">
        <v>319</v>
      </c>
      <c r="H188" s="132">
        <v>56</v>
      </c>
      <c r="I188" s="115">
        <v>3</v>
      </c>
      <c r="J188" s="132">
        <v>37</v>
      </c>
      <c r="K188" s="115">
        <v>7</v>
      </c>
      <c r="L188" s="114">
        <f t="shared" si="45"/>
        <v>143</v>
      </c>
      <c r="M188" s="127">
        <f t="shared" si="44"/>
        <v>163</v>
      </c>
      <c r="N188" s="116" t="s">
        <v>320</v>
      </c>
      <c r="O188" s="132">
        <v>36.5</v>
      </c>
      <c r="P188" s="117">
        <v>5</v>
      </c>
      <c r="Q188" s="116" t="s">
        <v>321</v>
      </c>
      <c r="R188" s="132">
        <v>12.5</v>
      </c>
      <c r="S188" s="117">
        <v>7</v>
      </c>
      <c r="T188" s="132">
        <v>24</v>
      </c>
      <c r="U188" s="115">
        <v>5</v>
      </c>
      <c r="V188" s="130">
        <f t="shared" si="46"/>
        <v>216</v>
      </c>
      <c r="W188" s="118">
        <f t="shared" si="47"/>
        <v>185</v>
      </c>
    </row>
    <row r="189" spans="1:26" ht="24.9" customHeight="1" x14ac:dyDescent="0.3">
      <c r="A189" s="131">
        <v>7</v>
      </c>
      <c r="B189" s="131">
        <v>3</v>
      </c>
      <c r="C189" s="131" t="s">
        <v>251</v>
      </c>
      <c r="D189" s="116" t="s">
        <v>318</v>
      </c>
      <c r="E189" s="132">
        <v>61</v>
      </c>
      <c r="F189" s="115">
        <v>4</v>
      </c>
      <c r="G189" s="116" t="s">
        <v>319</v>
      </c>
      <c r="H189" s="132">
        <v>17</v>
      </c>
      <c r="I189" s="115">
        <v>7</v>
      </c>
      <c r="J189" s="132">
        <v>68</v>
      </c>
      <c r="K189" s="115">
        <v>4</v>
      </c>
      <c r="L189" s="114">
        <f t="shared" si="45"/>
        <v>146</v>
      </c>
      <c r="M189" s="127">
        <f t="shared" si="44"/>
        <v>158</v>
      </c>
      <c r="N189" s="116" t="s">
        <v>320</v>
      </c>
      <c r="O189" s="132">
        <v>38.5</v>
      </c>
      <c r="P189" s="117">
        <v>4</v>
      </c>
      <c r="Q189" s="116" t="s">
        <v>321</v>
      </c>
      <c r="R189" s="132">
        <v>15</v>
      </c>
      <c r="S189" s="117">
        <v>6</v>
      </c>
      <c r="T189" s="132">
        <v>16</v>
      </c>
      <c r="U189" s="115">
        <v>6</v>
      </c>
      <c r="V189" s="130">
        <f t="shared" si="46"/>
        <v>215.5</v>
      </c>
      <c r="W189" s="118">
        <f t="shared" si="47"/>
        <v>186</v>
      </c>
    </row>
    <row r="190" spans="1:26" ht="24.9" customHeight="1" x14ac:dyDescent="0.3">
      <c r="A190" s="131">
        <v>5</v>
      </c>
      <c r="B190" s="131">
        <v>3</v>
      </c>
      <c r="C190" s="131" t="s">
        <v>252</v>
      </c>
      <c r="D190" s="116" t="s">
        <v>318</v>
      </c>
      <c r="E190" s="132">
        <v>32</v>
      </c>
      <c r="F190" s="115">
        <v>7</v>
      </c>
      <c r="G190" s="116" t="s">
        <v>319</v>
      </c>
      <c r="H190" s="132">
        <v>69</v>
      </c>
      <c r="I190" s="115">
        <v>2</v>
      </c>
      <c r="J190" s="132">
        <v>41</v>
      </c>
      <c r="K190" s="115">
        <v>6</v>
      </c>
      <c r="L190" s="114">
        <f t="shared" si="45"/>
        <v>142</v>
      </c>
      <c r="M190" s="127">
        <f t="shared" si="44"/>
        <v>165</v>
      </c>
      <c r="N190" s="116" t="s">
        <v>320</v>
      </c>
      <c r="O190" s="132">
        <v>32</v>
      </c>
      <c r="P190" s="117">
        <v>5</v>
      </c>
      <c r="Q190" s="116" t="s">
        <v>321</v>
      </c>
      <c r="R190" s="132">
        <v>18</v>
      </c>
      <c r="S190" s="117">
        <v>6</v>
      </c>
      <c r="T190" s="132">
        <v>22</v>
      </c>
      <c r="U190" s="115">
        <v>5</v>
      </c>
      <c r="V190" s="130">
        <f t="shared" si="46"/>
        <v>214</v>
      </c>
      <c r="W190" s="118">
        <f t="shared" si="47"/>
        <v>187</v>
      </c>
    </row>
    <row r="191" spans="1:26" ht="24.9" customHeight="1" x14ac:dyDescent="0.3">
      <c r="A191" s="131">
        <v>7</v>
      </c>
      <c r="B191" s="131">
        <v>14</v>
      </c>
      <c r="C191" s="131" t="s">
        <v>73</v>
      </c>
      <c r="D191" s="116" t="s">
        <v>318</v>
      </c>
      <c r="E191" s="132">
        <v>45</v>
      </c>
      <c r="F191" s="115">
        <v>6</v>
      </c>
      <c r="G191" s="116" t="s">
        <v>319</v>
      </c>
      <c r="H191" s="132">
        <v>25</v>
      </c>
      <c r="I191" s="115">
        <v>6</v>
      </c>
      <c r="J191" s="132">
        <v>56</v>
      </c>
      <c r="K191" s="115">
        <v>5</v>
      </c>
      <c r="L191" s="114">
        <f t="shared" si="45"/>
        <v>126</v>
      </c>
      <c r="M191" s="127">
        <f t="shared" si="44"/>
        <v>198</v>
      </c>
      <c r="N191" s="116" t="s">
        <v>320</v>
      </c>
      <c r="O191" s="132">
        <v>45</v>
      </c>
      <c r="P191" s="117">
        <v>3</v>
      </c>
      <c r="Q191" s="116" t="s">
        <v>321</v>
      </c>
      <c r="R191" s="132">
        <v>20</v>
      </c>
      <c r="S191" s="117">
        <v>5</v>
      </c>
      <c r="T191" s="132">
        <v>23</v>
      </c>
      <c r="U191" s="115">
        <v>5</v>
      </c>
      <c r="V191" s="130">
        <f t="shared" si="46"/>
        <v>214</v>
      </c>
      <c r="W191" s="118">
        <f t="shared" si="47"/>
        <v>187</v>
      </c>
    </row>
    <row r="192" spans="1:26" ht="24.9" customHeight="1" x14ac:dyDescent="0.3">
      <c r="A192" s="131">
        <v>10</v>
      </c>
      <c r="B192" s="131">
        <v>3</v>
      </c>
      <c r="C192" s="131" t="s">
        <v>253</v>
      </c>
      <c r="D192" s="116" t="s">
        <v>318</v>
      </c>
      <c r="E192" s="132">
        <v>52</v>
      </c>
      <c r="F192" s="115">
        <v>5</v>
      </c>
      <c r="G192" s="116" t="s">
        <v>319</v>
      </c>
      <c r="H192" s="132">
        <v>36</v>
      </c>
      <c r="I192" s="115">
        <v>5</v>
      </c>
      <c r="J192" s="132">
        <v>46</v>
      </c>
      <c r="K192" s="115">
        <v>6</v>
      </c>
      <c r="L192" s="114">
        <f t="shared" si="45"/>
        <v>134</v>
      </c>
      <c r="M192" s="127">
        <f t="shared" si="44"/>
        <v>176</v>
      </c>
      <c r="N192" s="116" t="s">
        <v>320</v>
      </c>
      <c r="O192" s="132">
        <v>39</v>
      </c>
      <c r="P192" s="117">
        <v>4</v>
      </c>
      <c r="Q192" s="116" t="s">
        <v>321</v>
      </c>
      <c r="R192" s="132">
        <v>26</v>
      </c>
      <c r="S192" s="117">
        <v>5</v>
      </c>
      <c r="T192" s="132">
        <v>15</v>
      </c>
      <c r="U192" s="115">
        <v>6</v>
      </c>
      <c r="V192" s="130">
        <f t="shared" si="46"/>
        <v>214</v>
      </c>
      <c r="W192" s="118">
        <f t="shared" si="47"/>
        <v>187</v>
      </c>
    </row>
    <row r="193" spans="1:26" ht="24.9" customHeight="1" x14ac:dyDescent="0.3">
      <c r="A193" s="131">
        <v>3</v>
      </c>
      <c r="B193" s="131">
        <v>9</v>
      </c>
      <c r="C193" s="131" t="s">
        <v>254</v>
      </c>
      <c r="D193" s="116" t="s">
        <v>318</v>
      </c>
      <c r="E193" s="132">
        <v>31</v>
      </c>
      <c r="F193" s="115">
        <v>7</v>
      </c>
      <c r="G193" s="116" t="s">
        <v>319</v>
      </c>
      <c r="H193" s="132">
        <v>28</v>
      </c>
      <c r="I193" s="115">
        <v>6</v>
      </c>
      <c r="J193" s="132">
        <v>79</v>
      </c>
      <c r="K193" s="115">
        <v>3</v>
      </c>
      <c r="L193" s="114">
        <f t="shared" si="45"/>
        <v>138</v>
      </c>
      <c r="M193" s="127">
        <f t="shared" si="44"/>
        <v>171</v>
      </c>
      <c r="N193" s="116" t="s">
        <v>320</v>
      </c>
      <c r="O193" s="132">
        <v>39.5</v>
      </c>
      <c r="P193" s="117">
        <v>4</v>
      </c>
      <c r="Q193" s="116" t="s">
        <v>321</v>
      </c>
      <c r="R193" s="132">
        <v>21</v>
      </c>
      <c r="S193" s="117">
        <v>5</v>
      </c>
      <c r="T193" s="132">
        <v>15</v>
      </c>
      <c r="U193" s="115">
        <v>6</v>
      </c>
      <c r="V193" s="130">
        <f t="shared" si="46"/>
        <v>213.5</v>
      </c>
      <c r="W193" s="118">
        <f t="shared" si="47"/>
        <v>190</v>
      </c>
    </row>
    <row r="194" spans="1:26" ht="24.9" customHeight="1" x14ac:dyDescent="0.3">
      <c r="A194" s="131">
        <v>4</v>
      </c>
      <c r="B194" s="131">
        <v>20</v>
      </c>
      <c r="C194" s="131" t="s">
        <v>255</v>
      </c>
      <c r="D194" s="116" t="s">
        <v>318</v>
      </c>
      <c r="E194" s="132">
        <v>36</v>
      </c>
      <c r="F194" s="115">
        <v>6</v>
      </c>
      <c r="G194" s="116" t="s">
        <v>319</v>
      </c>
      <c r="H194" s="132">
        <v>35</v>
      </c>
      <c r="I194" s="115">
        <v>5</v>
      </c>
      <c r="J194" s="132">
        <v>63</v>
      </c>
      <c r="K194" s="115">
        <v>4</v>
      </c>
      <c r="L194" s="114">
        <f t="shared" si="45"/>
        <v>134</v>
      </c>
      <c r="M194" s="127">
        <f t="shared" si="44"/>
        <v>176</v>
      </c>
      <c r="N194" s="116" t="s">
        <v>320</v>
      </c>
      <c r="O194" s="132">
        <v>31.5</v>
      </c>
      <c r="P194" s="117">
        <v>5</v>
      </c>
      <c r="Q194" s="116" t="s">
        <v>321</v>
      </c>
      <c r="R194" s="132">
        <v>16</v>
      </c>
      <c r="S194" s="117">
        <v>6</v>
      </c>
      <c r="T194" s="132">
        <v>32</v>
      </c>
      <c r="U194" s="115">
        <v>3</v>
      </c>
      <c r="V194" s="130">
        <f t="shared" si="46"/>
        <v>213.5</v>
      </c>
      <c r="W194" s="118">
        <f t="shared" si="47"/>
        <v>190</v>
      </c>
    </row>
    <row r="195" spans="1:26" ht="24.9" customHeight="1" x14ac:dyDescent="0.3">
      <c r="A195" s="131">
        <v>6</v>
      </c>
      <c r="B195" s="131">
        <v>7</v>
      </c>
      <c r="C195" s="131" t="s">
        <v>36</v>
      </c>
      <c r="D195" s="116" t="s">
        <v>318</v>
      </c>
      <c r="E195" s="132">
        <v>59</v>
      </c>
      <c r="F195" s="115">
        <v>5</v>
      </c>
      <c r="G195" s="116" t="s">
        <v>319</v>
      </c>
      <c r="H195" s="132">
        <v>29</v>
      </c>
      <c r="I195" s="115">
        <v>6</v>
      </c>
      <c r="J195" s="132">
        <v>51</v>
      </c>
      <c r="K195" s="115">
        <v>5</v>
      </c>
      <c r="L195" s="114">
        <f t="shared" si="45"/>
        <v>139</v>
      </c>
      <c r="M195" s="127">
        <f t="shared" si="44"/>
        <v>168</v>
      </c>
      <c r="N195" s="116" t="s">
        <v>320</v>
      </c>
      <c r="O195" s="132">
        <v>38.5</v>
      </c>
      <c r="P195" s="117">
        <v>4</v>
      </c>
      <c r="Q195" s="116" t="s">
        <v>321</v>
      </c>
      <c r="R195" s="132">
        <v>20.5</v>
      </c>
      <c r="S195" s="117">
        <v>5</v>
      </c>
      <c r="T195" s="132">
        <v>12</v>
      </c>
      <c r="U195" s="115">
        <v>7</v>
      </c>
      <c r="V195" s="130">
        <f t="shared" si="46"/>
        <v>210</v>
      </c>
      <c r="W195" s="118">
        <f t="shared" si="47"/>
        <v>192</v>
      </c>
    </row>
    <row r="196" spans="1:26" ht="24.9" customHeight="1" x14ac:dyDescent="0.3">
      <c r="A196" s="131">
        <v>5</v>
      </c>
      <c r="B196" s="131">
        <v>13</v>
      </c>
      <c r="C196" s="131" t="s">
        <v>256</v>
      </c>
      <c r="D196" s="116" t="s">
        <v>318</v>
      </c>
      <c r="E196" s="132">
        <v>39</v>
      </c>
      <c r="F196" s="115">
        <v>6</v>
      </c>
      <c r="G196" s="116" t="s">
        <v>319</v>
      </c>
      <c r="H196" s="132">
        <v>20</v>
      </c>
      <c r="I196" s="115">
        <v>7</v>
      </c>
      <c r="J196" s="132">
        <v>70</v>
      </c>
      <c r="K196" s="115">
        <v>3</v>
      </c>
      <c r="L196" s="114">
        <f t="shared" si="45"/>
        <v>129</v>
      </c>
      <c r="M196" s="127">
        <f t="shared" ref="M196:M259" si="48">RANK(L196,$L$4:$L$491)</f>
        <v>189</v>
      </c>
      <c r="N196" s="116" t="s">
        <v>320</v>
      </c>
      <c r="O196" s="132">
        <v>16.5</v>
      </c>
      <c r="P196" s="117">
        <v>7</v>
      </c>
      <c r="Q196" s="116" t="s">
        <v>321</v>
      </c>
      <c r="R196" s="132">
        <v>20.5</v>
      </c>
      <c r="S196" s="117">
        <v>5</v>
      </c>
      <c r="T196" s="132">
        <v>43</v>
      </c>
      <c r="U196" s="115">
        <v>1</v>
      </c>
      <c r="V196" s="130">
        <f t="shared" si="46"/>
        <v>209</v>
      </c>
      <c r="W196" s="118">
        <f t="shared" si="47"/>
        <v>193</v>
      </c>
    </row>
    <row r="197" spans="1:26" ht="24.9" customHeight="1" x14ac:dyDescent="0.3">
      <c r="A197" s="131">
        <v>8</v>
      </c>
      <c r="B197" s="131">
        <v>16</v>
      </c>
      <c r="C197" s="131" t="s">
        <v>197</v>
      </c>
      <c r="D197" s="116" t="s">
        <v>318</v>
      </c>
      <c r="E197" s="132">
        <v>49</v>
      </c>
      <c r="F197" s="115">
        <v>5</v>
      </c>
      <c r="G197" s="116" t="s">
        <v>319</v>
      </c>
      <c r="H197" s="132">
        <v>26</v>
      </c>
      <c r="I197" s="115">
        <v>6</v>
      </c>
      <c r="J197" s="132">
        <v>60</v>
      </c>
      <c r="K197" s="115">
        <v>4</v>
      </c>
      <c r="L197" s="114">
        <f t="shared" ref="L197:L260" si="49">SUM(E197,H197,J197)</f>
        <v>135</v>
      </c>
      <c r="M197" s="127">
        <f t="shared" si="48"/>
        <v>175</v>
      </c>
      <c r="N197" s="116" t="s">
        <v>320</v>
      </c>
      <c r="O197" s="132">
        <v>32</v>
      </c>
      <c r="P197" s="117">
        <v>5</v>
      </c>
      <c r="Q197" s="116" t="s">
        <v>321</v>
      </c>
      <c r="R197" s="132">
        <v>17</v>
      </c>
      <c r="S197" s="117">
        <v>6</v>
      </c>
      <c r="T197" s="132">
        <v>23</v>
      </c>
      <c r="U197" s="115">
        <v>5</v>
      </c>
      <c r="V197" s="130">
        <f t="shared" ref="V197:V260" si="50">SUM(L197,T197,R197,O197)</f>
        <v>207</v>
      </c>
      <c r="W197" s="118">
        <f t="shared" ref="W197:W260" si="51">RANK(V197,$V$4:$V$491)</f>
        <v>194</v>
      </c>
    </row>
    <row r="198" spans="1:26" ht="24.9" customHeight="1" x14ac:dyDescent="0.3">
      <c r="A198" s="131">
        <v>6</v>
      </c>
      <c r="B198" s="131">
        <v>16</v>
      </c>
      <c r="C198" s="131" t="s">
        <v>257</v>
      </c>
      <c r="D198" s="116" t="s">
        <v>318</v>
      </c>
      <c r="E198" s="132">
        <v>74</v>
      </c>
      <c r="F198" s="115">
        <v>3</v>
      </c>
      <c r="G198" s="116" t="s">
        <v>319</v>
      </c>
      <c r="H198" s="132">
        <v>15</v>
      </c>
      <c r="I198" s="115">
        <v>7</v>
      </c>
      <c r="J198" s="132">
        <v>61</v>
      </c>
      <c r="K198" s="115">
        <v>4</v>
      </c>
      <c r="L198" s="114">
        <f t="shared" si="49"/>
        <v>150</v>
      </c>
      <c r="M198" s="127">
        <f t="shared" si="48"/>
        <v>154</v>
      </c>
      <c r="N198" s="116" t="s">
        <v>320</v>
      </c>
      <c r="O198" s="132">
        <v>20.5</v>
      </c>
      <c r="P198" s="117">
        <v>6</v>
      </c>
      <c r="Q198" s="116" t="s">
        <v>321</v>
      </c>
      <c r="R198" s="132">
        <v>11</v>
      </c>
      <c r="S198" s="117">
        <v>7</v>
      </c>
      <c r="T198" s="132">
        <v>24</v>
      </c>
      <c r="U198" s="115">
        <v>5</v>
      </c>
      <c r="V198" s="130">
        <f t="shared" si="50"/>
        <v>205.5</v>
      </c>
      <c r="W198" s="118">
        <f t="shared" si="51"/>
        <v>195</v>
      </c>
    </row>
    <row r="199" spans="1:26" ht="24.9" customHeight="1" x14ac:dyDescent="0.3">
      <c r="A199" s="131">
        <v>7</v>
      </c>
      <c r="B199" s="131">
        <v>11</v>
      </c>
      <c r="C199" s="131" t="s">
        <v>258</v>
      </c>
      <c r="D199" s="116" t="s">
        <v>318</v>
      </c>
      <c r="E199" s="132">
        <v>42</v>
      </c>
      <c r="F199" s="115">
        <v>6</v>
      </c>
      <c r="G199" s="116" t="s">
        <v>319</v>
      </c>
      <c r="H199" s="132">
        <v>44</v>
      </c>
      <c r="I199" s="115">
        <v>4</v>
      </c>
      <c r="J199" s="132">
        <v>48</v>
      </c>
      <c r="K199" s="115">
        <v>6</v>
      </c>
      <c r="L199" s="114">
        <f t="shared" si="49"/>
        <v>134</v>
      </c>
      <c r="M199" s="127">
        <f t="shared" si="48"/>
        <v>176</v>
      </c>
      <c r="N199" s="116" t="s">
        <v>320</v>
      </c>
      <c r="O199" s="132">
        <v>33</v>
      </c>
      <c r="P199" s="117">
        <v>5</v>
      </c>
      <c r="Q199" s="116" t="s">
        <v>321</v>
      </c>
      <c r="R199" s="132">
        <v>26.5</v>
      </c>
      <c r="S199" s="117">
        <v>5</v>
      </c>
      <c r="T199" s="132">
        <v>12</v>
      </c>
      <c r="U199" s="115">
        <v>7</v>
      </c>
      <c r="V199" s="130">
        <f t="shared" si="50"/>
        <v>205.5</v>
      </c>
      <c r="W199" s="118">
        <f t="shared" si="51"/>
        <v>195</v>
      </c>
    </row>
    <row r="200" spans="1:26" ht="24.9" customHeight="1" x14ac:dyDescent="0.3">
      <c r="A200" s="131">
        <v>3</v>
      </c>
      <c r="B200" s="131">
        <v>25</v>
      </c>
      <c r="C200" s="131" t="s">
        <v>259</v>
      </c>
      <c r="D200" s="116" t="s">
        <v>318</v>
      </c>
      <c r="E200" s="132">
        <v>23</v>
      </c>
      <c r="F200" s="115">
        <v>8</v>
      </c>
      <c r="G200" s="116" t="s">
        <v>319</v>
      </c>
      <c r="H200" s="132">
        <v>21</v>
      </c>
      <c r="I200" s="115">
        <v>6</v>
      </c>
      <c r="J200" s="132">
        <v>65</v>
      </c>
      <c r="K200" s="115">
        <v>4</v>
      </c>
      <c r="L200" s="114">
        <f t="shared" si="49"/>
        <v>109</v>
      </c>
      <c r="M200" s="127">
        <f t="shared" si="48"/>
        <v>221</v>
      </c>
      <c r="N200" s="116" t="s">
        <v>320</v>
      </c>
      <c r="O200" s="132">
        <v>37</v>
      </c>
      <c r="P200" s="117">
        <v>4</v>
      </c>
      <c r="Q200" s="116" t="s">
        <v>321</v>
      </c>
      <c r="R200" s="132">
        <v>23.5</v>
      </c>
      <c r="S200" s="117">
        <v>5</v>
      </c>
      <c r="T200" s="132">
        <v>32</v>
      </c>
      <c r="U200" s="115">
        <v>3</v>
      </c>
      <c r="V200" s="130">
        <f t="shared" si="50"/>
        <v>201.5</v>
      </c>
      <c r="W200" s="118">
        <f t="shared" si="51"/>
        <v>197</v>
      </c>
    </row>
    <row r="201" spans="1:26" ht="24.9" customHeight="1" x14ac:dyDescent="0.3">
      <c r="A201" s="131">
        <v>7</v>
      </c>
      <c r="B201" s="131">
        <v>21</v>
      </c>
      <c r="C201" s="131" t="s">
        <v>260</v>
      </c>
      <c r="D201" s="116" t="s">
        <v>318</v>
      </c>
      <c r="E201" s="132">
        <v>40</v>
      </c>
      <c r="F201" s="115">
        <v>6</v>
      </c>
      <c r="G201" s="116" t="s">
        <v>319</v>
      </c>
      <c r="H201" s="132">
        <v>23</v>
      </c>
      <c r="I201" s="115">
        <v>6</v>
      </c>
      <c r="J201" s="132">
        <v>66</v>
      </c>
      <c r="K201" s="115">
        <v>4</v>
      </c>
      <c r="L201" s="114">
        <f t="shared" si="49"/>
        <v>129</v>
      </c>
      <c r="M201" s="127">
        <f t="shared" si="48"/>
        <v>189</v>
      </c>
      <c r="N201" s="116" t="s">
        <v>320</v>
      </c>
      <c r="O201" s="132">
        <v>33.5</v>
      </c>
      <c r="P201" s="117">
        <v>5</v>
      </c>
      <c r="Q201" s="116" t="s">
        <v>321</v>
      </c>
      <c r="R201" s="132">
        <v>18.5</v>
      </c>
      <c r="S201" s="117">
        <v>6</v>
      </c>
      <c r="T201" s="132">
        <v>20</v>
      </c>
      <c r="U201" s="115">
        <v>5</v>
      </c>
      <c r="V201" s="130">
        <f t="shared" si="50"/>
        <v>201</v>
      </c>
      <c r="W201" s="118">
        <f t="shared" si="51"/>
        <v>198</v>
      </c>
    </row>
    <row r="202" spans="1:26" ht="24.9" customHeight="1" x14ac:dyDescent="0.3">
      <c r="A202" s="131">
        <v>7</v>
      </c>
      <c r="B202" s="131">
        <v>2</v>
      </c>
      <c r="C202" s="131" t="s">
        <v>89</v>
      </c>
      <c r="D202" s="116" t="s">
        <v>318</v>
      </c>
      <c r="E202" s="132">
        <v>32</v>
      </c>
      <c r="F202" s="115">
        <v>7</v>
      </c>
      <c r="G202" s="116" t="s">
        <v>319</v>
      </c>
      <c r="H202" s="132">
        <v>44</v>
      </c>
      <c r="I202" s="115">
        <v>4</v>
      </c>
      <c r="J202" s="132">
        <v>49</v>
      </c>
      <c r="K202" s="115">
        <v>6</v>
      </c>
      <c r="L202" s="114">
        <f t="shared" si="49"/>
        <v>125</v>
      </c>
      <c r="M202" s="127">
        <f t="shared" si="48"/>
        <v>201</v>
      </c>
      <c r="N202" s="116" t="s">
        <v>320</v>
      </c>
      <c r="O202" s="132">
        <v>27</v>
      </c>
      <c r="P202" s="117">
        <v>6</v>
      </c>
      <c r="Q202" s="116" t="s">
        <v>321</v>
      </c>
      <c r="R202" s="132">
        <v>17</v>
      </c>
      <c r="S202" s="117">
        <v>6</v>
      </c>
      <c r="T202" s="132">
        <v>31</v>
      </c>
      <c r="U202" s="115">
        <v>3</v>
      </c>
      <c r="V202" s="130">
        <f t="shared" si="50"/>
        <v>200</v>
      </c>
      <c r="W202" s="118">
        <f t="shared" si="51"/>
        <v>199</v>
      </c>
    </row>
    <row r="203" spans="1:26" ht="24.9" customHeight="1" x14ac:dyDescent="0.3">
      <c r="A203" s="131">
        <v>9</v>
      </c>
      <c r="B203" s="131">
        <v>22</v>
      </c>
      <c r="C203" s="131" t="s">
        <v>261</v>
      </c>
      <c r="D203" s="116" t="s">
        <v>318</v>
      </c>
      <c r="E203" s="132">
        <v>45</v>
      </c>
      <c r="F203" s="115">
        <v>6</v>
      </c>
      <c r="G203" s="116" t="s">
        <v>319</v>
      </c>
      <c r="H203" s="132">
        <v>42</v>
      </c>
      <c r="I203" s="115">
        <v>5</v>
      </c>
      <c r="J203" s="132">
        <v>50</v>
      </c>
      <c r="K203" s="115">
        <v>5</v>
      </c>
      <c r="L203" s="114">
        <f t="shared" si="49"/>
        <v>137</v>
      </c>
      <c r="M203" s="127">
        <f t="shared" si="48"/>
        <v>172</v>
      </c>
      <c r="N203" s="116" t="s">
        <v>320</v>
      </c>
      <c r="O203" s="132">
        <v>29</v>
      </c>
      <c r="P203" s="117">
        <v>5</v>
      </c>
      <c r="Q203" s="116" t="s">
        <v>321</v>
      </c>
      <c r="R203" s="132">
        <v>22</v>
      </c>
      <c r="S203" s="117">
        <v>5</v>
      </c>
      <c r="T203" s="132">
        <v>12</v>
      </c>
      <c r="U203" s="115">
        <v>7</v>
      </c>
      <c r="V203" s="130">
        <f t="shared" si="50"/>
        <v>200</v>
      </c>
      <c r="W203" s="118">
        <f t="shared" si="51"/>
        <v>199</v>
      </c>
    </row>
    <row r="204" spans="1:26" ht="24.9" customHeight="1" x14ac:dyDescent="0.3">
      <c r="A204" s="131">
        <v>9</v>
      </c>
      <c r="B204" s="131">
        <v>26</v>
      </c>
      <c r="C204" s="131" t="s">
        <v>262</v>
      </c>
      <c r="D204" s="116" t="s">
        <v>318</v>
      </c>
      <c r="E204" s="132">
        <v>45</v>
      </c>
      <c r="F204" s="115">
        <v>6</v>
      </c>
      <c r="G204" s="116" t="s">
        <v>319</v>
      </c>
      <c r="H204" s="132">
        <v>14</v>
      </c>
      <c r="I204" s="115">
        <v>7</v>
      </c>
      <c r="J204" s="132">
        <v>71</v>
      </c>
      <c r="K204" s="115">
        <v>3</v>
      </c>
      <c r="L204" s="114">
        <f t="shared" si="49"/>
        <v>130</v>
      </c>
      <c r="M204" s="127">
        <f t="shared" si="48"/>
        <v>188</v>
      </c>
      <c r="N204" s="116" t="s">
        <v>320</v>
      </c>
      <c r="O204" s="132">
        <v>32</v>
      </c>
      <c r="P204" s="117">
        <v>5</v>
      </c>
      <c r="Q204" s="116" t="s">
        <v>321</v>
      </c>
      <c r="R204" s="132">
        <v>20.5</v>
      </c>
      <c r="S204" s="117">
        <v>5</v>
      </c>
      <c r="T204" s="132">
        <v>17</v>
      </c>
      <c r="U204" s="115">
        <v>6</v>
      </c>
      <c r="V204" s="130">
        <f t="shared" si="50"/>
        <v>199.5</v>
      </c>
      <c r="W204" s="118">
        <f t="shared" si="51"/>
        <v>201</v>
      </c>
    </row>
    <row r="205" spans="1:26" ht="24.9" customHeight="1" x14ac:dyDescent="0.3">
      <c r="A205" s="131">
        <v>2</v>
      </c>
      <c r="B205" s="131">
        <v>24</v>
      </c>
      <c r="C205" s="131" t="s">
        <v>263</v>
      </c>
      <c r="D205" s="116" t="s">
        <v>318</v>
      </c>
      <c r="E205" s="132">
        <v>37</v>
      </c>
      <c r="F205" s="115">
        <v>6</v>
      </c>
      <c r="G205" s="116" t="s">
        <v>319</v>
      </c>
      <c r="H205" s="132">
        <v>25</v>
      </c>
      <c r="I205" s="115">
        <v>6</v>
      </c>
      <c r="J205" s="132">
        <v>67</v>
      </c>
      <c r="K205" s="115">
        <v>4</v>
      </c>
      <c r="L205" s="114">
        <f t="shared" si="49"/>
        <v>129</v>
      </c>
      <c r="M205" s="127">
        <f t="shared" si="48"/>
        <v>189</v>
      </c>
      <c r="N205" s="116" t="s">
        <v>320</v>
      </c>
      <c r="O205" s="132">
        <v>33</v>
      </c>
      <c r="P205" s="117">
        <v>5</v>
      </c>
      <c r="Q205" s="116" t="s">
        <v>321</v>
      </c>
      <c r="R205" s="132">
        <v>20</v>
      </c>
      <c r="S205" s="117">
        <v>5</v>
      </c>
      <c r="T205" s="132">
        <v>17</v>
      </c>
      <c r="U205" s="115">
        <v>6</v>
      </c>
      <c r="V205" s="130">
        <f t="shared" si="50"/>
        <v>199</v>
      </c>
      <c r="W205" s="118">
        <f t="shared" si="51"/>
        <v>202</v>
      </c>
    </row>
    <row r="206" spans="1:26" ht="24.9" customHeight="1" x14ac:dyDescent="0.3">
      <c r="A206" s="131">
        <v>3</v>
      </c>
      <c r="B206" s="131">
        <v>26</v>
      </c>
      <c r="C206" s="131" t="s">
        <v>264</v>
      </c>
      <c r="D206" s="116" t="s">
        <v>318</v>
      </c>
      <c r="E206" s="132">
        <v>25</v>
      </c>
      <c r="F206" s="115">
        <v>7</v>
      </c>
      <c r="G206" s="116" t="s">
        <v>319</v>
      </c>
      <c r="H206" s="132">
        <v>29</v>
      </c>
      <c r="I206" s="115">
        <v>6</v>
      </c>
      <c r="J206" s="132">
        <v>74</v>
      </c>
      <c r="K206" s="115">
        <v>3</v>
      </c>
      <c r="L206" s="114">
        <f t="shared" si="49"/>
        <v>128</v>
      </c>
      <c r="M206" s="127">
        <f t="shared" si="48"/>
        <v>193</v>
      </c>
      <c r="N206" s="116" t="s">
        <v>320</v>
      </c>
      <c r="O206" s="132">
        <v>29</v>
      </c>
      <c r="P206" s="117">
        <v>5</v>
      </c>
      <c r="Q206" s="116" t="s">
        <v>321</v>
      </c>
      <c r="R206" s="132">
        <v>19</v>
      </c>
      <c r="S206" s="117">
        <v>6</v>
      </c>
      <c r="T206" s="132">
        <v>22</v>
      </c>
      <c r="U206" s="115">
        <v>5</v>
      </c>
      <c r="V206" s="130">
        <f t="shared" si="50"/>
        <v>198</v>
      </c>
      <c r="W206" s="118">
        <f t="shared" si="51"/>
        <v>203</v>
      </c>
      <c r="Y206" s="44"/>
      <c r="Z206" s="44"/>
    </row>
    <row r="207" spans="1:26" ht="24.9" customHeight="1" x14ac:dyDescent="0.3">
      <c r="A207" s="131">
        <v>10</v>
      </c>
      <c r="B207" s="131">
        <v>23</v>
      </c>
      <c r="C207" s="131" t="s">
        <v>82</v>
      </c>
      <c r="D207" s="116" t="s">
        <v>318</v>
      </c>
      <c r="E207" s="132">
        <v>59</v>
      </c>
      <c r="F207" s="115">
        <v>5</v>
      </c>
      <c r="G207" s="116" t="s">
        <v>319</v>
      </c>
      <c r="H207" s="132">
        <v>21</v>
      </c>
      <c r="I207" s="115">
        <v>6</v>
      </c>
      <c r="J207" s="132">
        <v>48</v>
      </c>
      <c r="K207" s="115">
        <v>6</v>
      </c>
      <c r="L207" s="114">
        <f t="shared" si="49"/>
        <v>128</v>
      </c>
      <c r="M207" s="127">
        <f t="shared" si="48"/>
        <v>193</v>
      </c>
      <c r="N207" s="116" t="s">
        <v>320</v>
      </c>
      <c r="O207" s="132">
        <v>32.5</v>
      </c>
      <c r="P207" s="117">
        <v>5</v>
      </c>
      <c r="Q207" s="116" t="s">
        <v>321</v>
      </c>
      <c r="R207" s="132">
        <v>21</v>
      </c>
      <c r="S207" s="117">
        <v>5</v>
      </c>
      <c r="T207" s="132">
        <v>16</v>
      </c>
      <c r="U207" s="115">
        <v>6</v>
      </c>
      <c r="V207" s="130">
        <f t="shared" si="50"/>
        <v>197.5</v>
      </c>
      <c r="W207" s="118">
        <f t="shared" si="51"/>
        <v>204</v>
      </c>
    </row>
    <row r="208" spans="1:26" ht="24.9" customHeight="1" x14ac:dyDescent="0.3">
      <c r="A208" s="131">
        <v>4</v>
      </c>
      <c r="B208" s="131">
        <v>2</v>
      </c>
      <c r="C208" s="131" t="s">
        <v>71</v>
      </c>
      <c r="D208" s="116" t="s">
        <v>318</v>
      </c>
      <c r="E208" s="132">
        <v>35</v>
      </c>
      <c r="F208" s="115">
        <v>6</v>
      </c>
      <c r="G208" s="116" t="s">
        <v>319</v>
      </c>
      <c r="H208" s="132">
        <v>20</v>
      </c>
      <c r="I208" s="115">
        <v>7</v>
      </c>
      <c r="J208" s="132">
        <v>47</v>
      </c>
      <c r="K208" s="115">
        <v>6</v>
      </c>
      <c r="L208" s="114">
        <f t="shared" si="49"/>
        <v>102</v>
      </c>
      <c r="M208" s="127">
        <f t="shared" si="48"/>
        <v>229</v>
      </c>
      <c r="N208" s="116" t="s">
        <v>320</v>
      </c>
      <c r="O208" s="132">
        <v>36.5</v>
      </c>
      <c r="P208" s="117">
        <v>5</v>
      </c>
      <c r="Q208" s="116" t="s">
        <v>321</v>
      </c>
      <c r="R208" s="132">
        <v>18.5</v>
      </c>
      <c r="S208" s="117">
        <v>6</v>
      </c>
      <c r="T208" s="132">
        <v>40</v>
      </c>
      <c r="U208" s="115">
        <v>1</v>
      </c>
      <c r="V208" s="130">
        <f t="shared" si="50"/>
        <v>197</v>
      </c>
      <c r="W208" s="118">
        <f t="shared" si="51"/>
        <v>205</v>
      </c>
      <c r="Y208" s="44"/>
      <c r="Z208" s="44"/>
    </row>
    <row r="209" spans="1:26" ht="24.9" customHeight="1" x14ac:dyDescent="0.3">
      <c r="A209" s="131">
        <v>8</v>
      </c>
      <c r="B209" s="131">
        <v>14</v>
      </c>
      <c r="C209" s="131" t="s">
        <v>265</v>
      </c>
      <c r="D209" s="116" t="s">
        <v>318</v>
      </c>
      <c r="E209" s="132">
        <v>43</v>
      </c>
      <c r="F209" s="115">
        <v>6</v>
      </c>
      <c r="G209" s="116" t="s">
        <v>319</v>
      </c>
      <c r="H209" s="132">
        <v>24</v>
      </c>
      <c r="I209" s="115">
        <v>6</v>
      </c>
      <c r="J209" s="132">
        <v>56</v>
      </c>
      <c r="K209" s="115">
        <v>5</v>
      </c>
      <c r="L209" s="114">
        <f t="shared" si="49"/>
        <v>123</v>
      </c>
      <c r="M209" s="127">
        <f t="shared" si="48"/>
        <v>202</v>
      </c>
      <c r="N209" s="116" t="s">
        <v>320</v>
      </c>
      <c r="O209" s="132">
        <v>36.5</v>
      </c>
      <c r="P209" s="117">
        <v>5</v>
      </c>
      <c r="Q209" s="116" t="s">
        <v>321</v>
      </c>
      <c r="R209" s="132">
        <v>14</v>
      </c>
      <c r="S209" s="117">
        <v>7</v>
      </c>
      <c r="T209" s="132">
        <v>22</v>
      </c>
      <c r="U209" s="115">
        <v>5</v>
      </c>
      <c r="V209" s="130">
        <f t="shared" si="50"/>
        <v>195.5</v>
      </c>
      <c r="W209" s="118">
        <f t="shared" si="51"/>
        <v>206</v>
      </c>
    </row>
    <row r="210" spans="1:26" ht="24.9" customHeight="1" x14ac:dyDescent="0.3">
      <c r="A210" s="131">
        <v>4</v>
      </c>
      <c r="B210" s="131">
        <v>23</v>
      </c>
      <c r="C210" s="131" t="s">
        <v>266</v>
      </c>
      <c r="D210" s="116" t="s">
        <v>318</v>
      </c>
      <c r="E210" s="132">
        <v>29</v>
      </c>
      <c r="F210" s="115">
        <v>7</v>
      </c>
      <c r="G210" s="116" t="s">
        <v>319</v>
      </c>
      <c r="H210" s="132">
        <v>34</v>
      </c>
      <c r="I210" s="115">
        <v>5</v>
      </c>
      <c r="J210" s="132">
        <v>59</v>
      </c>
      <c r="K210" s="115">
        <v>5</v>
      </c>
      <c r="L210" s="114">
        <f t="shared" si="49"/>
        <v>122</v>
      </c>
      <c r="M210" s="127">
        <f t="shared" si="48"/>
        <v>203</v>
      </c>
      <c r="N210" s="116" t="s">
        <v>320</v>
      </c>
      <c r="O210" s="132">
        <v>16</v>
      </c>
      <c r="P210" s="117">
        <v>7</v>
      </c>
      <c r="Q210" s="116" t="s">
        <v>321</v>
      </c>
      <c r="R210" s="132">
        <v>43</v>
      </c>
      <c r="S210" s="117">
        <v>3</v>
      </c>
      <c r="T210" s="132">
        <v>14</v>
      </c>
      <c r="U210" s="115">
        <v>7</v>
      </c>
      <c r="V210" s="130">
        <f t="shared" si="50"/>
        <v>195</v>
      </c>
      <c r="W210" s="118">
        <f t="shared" si="51"/>
        <v>207</v>
      </c>
    </row>
    <row r="211" spans="1:26" ht="24.9" customHeight="1" x14ac:dyDescent="0.3">
      <c r="A211" s="131">
        <v>10</v>
      </c>
      <c r="B211" s="131">
        <v>27</v>
      </c>
      <c r="C211" s="131" t="s">
        <v>267</v>
      </c>
      <c r="D211" s="116" t="s">
        <v>318</v>
      </c>
      <c r="E211" s="132">
        <v>29</v>
      </c>
      <c r="F211" s="115">
        <v>7</v>
      </c>
      <c r="G211" s="116" t="s">
        <v>319</v>
      </c>
      <c r="H211" s="132">
        <v>29</v>
      </c>
      <c r="I211" s="115">
        <v>6</v>
      </c>
      <c r="J211" s="132">
        <v>52</v>
      </c>
      <c r="K211" s="115">
        <v>5</v>
      </c>
      <c r="L211" s="114">
        <f t="shared" si="49"/>
        <v>110</v>
      </c>
      <c r="M211" s="127">
        <f t="shared" si="48"/>
        <v>220</v>
      </c>
      <c r="N211" s="116" t="s">
        <v>320</v>
      </c>
      <c r="O211" s="132">
        <v>33</v>
      </c>
      <c r="P211" s="117">
        <v>5</v>
      </c>
      <c r="Q211" s="116" t="s">
        <v>321</v>
      </c>
      <c r="R211" s="132">
        <v>24.5</v>
      </c>
      <c r="S211" s="117">
        <v>5</v>
      </c>
      <c r="T211" s="132">
        <v>25</v>
      </c>
      <c r="U211" s="115">
        <v>4</v>
      </c>
      <c r="V211" s="130">
        <f t="shared" si="50"/>
        <v>192.5</v>
      </c>
      <c r="W211" s="118">
        <f t="shared" si="51"/>
        <v>208</v>
      </c>
    </row>
    <row r="212" spans="1:26" ht="24.9" customHeight="1" x14ac:dyDescent="0.3">
      <c r="A212" s="131">
        <v>9</v>
      </c>
      <c r="B212" s="131">
        <v>4</v>
      </c>
      <c r="C212" s="131" t="s">
        <v>268</v>
      </c>
      <c r="D212" s="116" t="s">
        <v>318</v>
      </c>
      <c r="E212" s="132">
        <v>46</v>
      </c>
      <c r="F212" s="115">
        <v>6</v>
      </c>
      <c r="G212" s="116" t="s">
        <v>319</v>
      </c>
      <c r="H212" s="132">
        <v>23</v>
      </c>
      <c r="I212" s="115">
        <v>6</v>
      </c>
      <c r="J212" s="132">
        <v>53</v>
      </c>
      <c r="K212" s="115">
        <v>5</v>
      </c>
      <c r="L212" s="114">
        <f t="shared" si="49"/>
        <v>122</v>
      </c>
      <c r="M212" s="127">
        <f t="shared" si="48"/>
        <v>203</v>
      </c>
      <c r="N212" s="116" t="s">
        <v>320</v>
      </c>
      <c r="O212" s="132">
        <v>25.5</v>
      </c>
      <c r="P212" s="117">
        <v>6</v>
      </c>
      <c r="Q212" s="116" t="s">
        <v>321</v>
      </c>
      <c r="R212" s="132">
        <v>16.5</v>
      </c>
      <c r="S212" s="117">
        <v>6</v>
      </c>
      <c r="T212" s="132">
        <v>26</v>
      </c>
      <c r="U212" s="115">
        <v>4</v>
      </c>
      <c r="V212" s="130">
        <f t="shared" si="50"/>
        <v>190</v>
      </c>
      <c r="W212" s="118">
        <f t="shared" si="51"/>
        <v>209</v>
      </c>
      <c r="Y212" s="44"/>
      <c r="Z212" s="44"/>
    </row>
    <row r="213" spans="1:26" ht="24.9" customHeight="1" x14ac:dyDescent="0.3">
      <c r="A213" s="131">
        <v>4</v>
      </c>
      <c r="B213" s="131">
        <v>25</v>
      </c>
      <c r="C213" s="131" t="s">
        <v>269</v>
      </c>
      <c r="D213" s="116" t="s">
        <v>318</v>
      </c>
      <c r="E213" s="132">
        <v>41</v>
      </c>
      <c r="F213" s="115">
        <v>6</v>
      </c>
      <c r="G213" s="116" t="s">
        <v>319</v>
      </c>
      <c r="H213" s="132">
        <v>16</v>
      </c>
      <c r="I213" s="115">
        <v>7</v>
      </c>
      <c r="J213" s="132">
        <v>32</v>
      </c>
      <c r="K213" s="115">
        <v>7</v>
      </c>
      <c r="L213" s="114">
        <f t="shared" si="49"/>
        <v>89</v>
      </c>
      <c r="M213" s="127">
        <f t="shared" si="48"/>
        <v>239</v>
      </c>
      <c r="N213" s="116" t="s">
        <v>320</v>
      </c>
      <c r="O213" s="132">
        <v>33</v>
      </c>
      <c r="P213" s="117">
        <v>5</v>
      </c>
      <c r="Q213" s="116" t="s">
        <v>321</v>
      </c>
      <c r="R213" s="132">
        <v>21.5</v>
      </c>
      <c r="S213" s="117">
        <v>5</v>
      </c>
      <c r="T213" s="132">
        <v>45</v>
      </c>
      <c r="U213" s="115">
        <v>1</v>
      </c>
      <c r="V213" s="130">
        <f t="shared" si="50"/>
        <v>188.5</v>
      </c>
      <c r="W213" s="118">
        <f t="shared" si="51"/>
        <v>210</v>
      </c>
    </row>
    <row r="214" spans="1:26" ht="24.9" customHeight="1" x14ac:dyDescent="0.3">
      <c r="A214" s="131">
        <v>6</v>
      </c>
      <c r="B214" s="131">
        <v>26</v>
      </c>
      <c r="C214" s="131" t="s">
        <v>270</v>
      </c>
      <c r="D214" s="116" t="s">
        <v>318</v>
      </c>
      <c r="E214" s="132">
        <v>53</v>
      </c>
      <c r="F214" s="115">
        <v>5</v>
      </c>
      <c r="G214" s="116" t="s">
        <v>319</v>
      </c>
      <c r="H214" s="132">
        <v>21</v>
      </c>
      <c r="I214" s="115">
        <v>6</v>
      </c>
      <c r="J214" s="132">
        <v>45</v>
      </c>
      <c r="K214" s="115">
        <v>6</v>
      </c>
      <c r="L214" s="114">
        <f t="shared" si="49"/>
        <v>119</v>
      </c>
      <c r="M214" s="127">
        <f t="shared" si="48"/>
        <v>210</v>
      </c>
      <c r="N214" s="116" t="s">
        <v>320</v>
      </c>
      <c r="O214" s="132">
        <v>31</v>
      </c>
      <c r="P214" s="117">
        <v>5</v>
      </c>
      <c r="Q214" s="116" t="s">
        <v>321</v>
      </c>
      <c r="R214" s="132">
        <v>19.5</v>
      </c>
      <c r="S214" s="117">
        <v>6</v>
      </c>
      <c r="T214" s="132">
        <v>16</v>
      </c>
      <c r="U214" s="115">
        <v>6</v>
      </c>
      <c r="V214" s="130">
        <f t="shared" si="50"/>
        <v>185.5</v>
      </c>
      <c r="W214" s="118">
        <f t="shared" si="51"/>
        <v>211</v>
      </c>
    </row>
    <row r="215" spans="1:26" ht="24.9" customHeight="1" x14ac:dyDescent="0.3">
      <c r="A215" s="131">
        <v>5</v>
      </c>
      <c r="B215" s="131">
        <v>10</v>
      </c>
      <c r="C215" s="131" t="s">
        <v>271</v>
      </c>
      <c r="D215" s="116" t="s">
        <v>318</v>
      </c>
      <c r="E215" s="132">
        <v>33</v>
      </c>
      <c r="F215" s="115">
        <v>7</v>
      </c>
      <c r="G215" s="116" t="s">
        <v>319</v>
      </c>
      <c r="H215" s="132">
        <v>26</v>
      </c>
      <c r="I215" s="115">
        <v>6</v>
      </c>
      <c r="J215" s="132">
        <v>60</v>
      </c>
      <c r="K215" s="115">
        <v>4</v>
      </c>
      <c r="L215" s="114">
        <f t="shared" si="49"/>
        <v>119</v>
      </c>
      <c r="M215" s="127">
        <f t="shared" si="48"/>
        <v>210</v>
      </c>
      <c r="N215" s="116" t="s">
        <v>320</v>
      </c>
      <c r="O215" s="132">
        <v>23</v>
      </c>
      <c r="P215" s="117">
        <v>6</v>
      </c>
      <c r="Q215" s="116" t="s">
        <v>321</v>
      </c>
      <c r="R215" s="132">
        <v>21</v>
      </c>
      <c r="S215" s="117">
        <v>5</v>
      </c>
      <c r="T215" s="132">
        <v>21</v>
      </c>
      <c r="U215" s="115">
        <v>5</v>
      </c>
      <c r="V215" s="130">
        <f t="shared" si="50"/>
        <v>184</v>
      </c>
      <c r="W215" s="118">
        <f t="shared" si="51"/>
        <v>212</v>
      </c>
    </row>
    <row r="216" spans="1:26" ht="24.9" customHeight="1" x14ac:dyDescent="0.3">
      <c r="A216" s="131">
        <v>6</v>
      </c>
      <c r="B216" s="131">
        <v>22</v>
      </c>
      <c r="C216" s="131" t="s">
        <v>272</v>
      </c>
      <c r="D216" s="116" t="s">
        <v>318</v>
      </c>
      <c r="E216" s="132">
        <v>39</v>
      </c>
      <c r="F216" s="115">
        <v>6</v>
      </c>
      <c r="G216" s="116" t="s">
        <v>319</v>
      </c>
      <c r="H216" s="132">
        <v>39</v>
      </c>
      <c r="I216" s="115">
        <v>5</v>
      </c>
      <c r="J216" s="132">
        <v>40</v>
      </c>
      <c r="K216" s="115">
        <v>6</v>
      </c>
      <c r="L216" s="114">
        <f t="shared" si="49"/>
        <v>118</v>
      </c>
      <c r="M216" s="127">
        <f t="shared" si="48"/>
        <v>212</v>
      </c>
      <c r="N216" s="116" t="s">
        <v>320</v>
      </c>
      <c r="O216" s="132">
        <v>34</v>
      </c>
      <c r="P216" s="117">
        <v>5</v>
      </c>
      <c r="Q216" s="116" t="s">
        <v>321</v>
      </c>
      <c r="R216" s="132">
        <v>17</v>
      </c>
      <c r="S216" s="117">
        <v>6</v>
      </c>
      <c r="T216" s="132">
        <v>14</v>
      </c>
      <c r="U216" s="115">
        <v>7</v>
      </c>
      <c r="V216" s="130">
        <f t="shared" si="50"/>
        <v>183</v>
      </c>
      <c r="W216" s="118">
        <f t="shared" si="51"/>
        <v>213</v>
      </c>
    </row>
    <row r="217" spans="1:26" ht="24.9" customHeight="1" x14ac:dyDescent="0.3">
      <c r="A217" s="131">
        <v>1</v>
      </c>
      <c r="B217" s="131">
        <v>2</v>
      </c>
      <c r="C217" s="131" t="s">
        <v>31</v>
      </c>
      <c r="D217" s="116" t="s">
        <v>318</v>
      </c>
      <c r="E217" s="132">
        <v>26</v>
      </c>
      <c r="F217" s="115">
        <v>7</v>
      </c>
      <c r="G217" s="116" t="s">
        <v>319</v>
      </c>
      <c r="H217" s="132">
        <v>40</v>
      </c>
      <c r="I217" s="115">
        <v>5</v>
      </c>
      <c r="J217" s="132">
        <v>32</v>
      </c>
      <c r="K217" s="115">
        <v>7</v>
      </c>
      <c r="L217" s="114">
        <f t="shared" si="49"/>
        <v>98</v>
      </c>
      <c r="M217" s="127">
        <f t="shared" si="48"/>
        <v>232</v>
      </c>
      <c r="N217" s="116" t="s">
        <v>320</v>
      </c>
      <c r="O217" s="132">
        <v>34</v>
      </c>
      <c r="P217" s="117">
        <v>5</v>
      </c>
      <c r="Q217" s="116" t="s">
        <v>321</v>
      </c>
      <c r="R217" s="132">
        <v>22.5</v>
      </c>
      <c r="S217" s="117">
        <v>5</v>
      </c>
      <c r="T217" s="132">
        <v>28</v>
      </c>
      <c r="U217" s="115">
        <v>4</v>
      </c>
      <c r="V217" s="130">
        <f t="shared" si="50"/>
        <v>182.5</v>
      </c>
      <c r="W217" s="118">
        <f t="shared" si="51"/>
        <v>214</v>
      </c>
    </row>
    <row r="218" spans="1:26" ht="24.9" customHeight="1" x14ac:dyDescent="0.3">
      <c r="A218" s="131">
        <v>9</v>
      </c>
      <c r="B218" s="131">
        <v>17</v>
      </c>
      <c r="C218" s="131" t="s">
        <v>273</v>
      </c>
      <c r="D218" s="116" t="s">
        <v>318</v>
      </c>
      <c r="E218" s="132">
        <v>35</v>
      </c>
      <c r="F218" s="115">
        <v>6</v>
      </c>
      <c r="G218" s="116" t="s">
        <v>319</v>
      </c>
      <c r="H218" s="132">
        <v>33</v>
      </c>
      <c r="I218" s="115">
        <v>5</v>
      </c>
      <c r="J218" s="132">
        <v>47</v>
      </c>
      <c r="K218" s="115">
        <v>6</v>
      </c>
      <c r="L218" s="114">
        <f t="shared" si="49"/>
        <v>115</v>
      </c>
      <c r="M218" s="127">
        <f t="shared" si="48"/>
        <v>215</v>
      </c>
      <c r="N218" s="116" t="s">
        <v>320</v>
      </c>
      <c r="O218" s="132">
        <v>24.5</v>
      </c>
      <c r="P218" s="117">
        <v>6</v>
      </c>
      <c r="Q218" s="116" t="s">
        <v>321</v>
      </c>
      <c r="R218" s="132">
        <v>16.5</v>
      </c>
      <c r="S218" s="117">
        <v>6</v>
      </c>
      <c r="T218" s="132">
        <v>26</v>
      </c>
      <c r="U218" s="115">
        <v>4</v>
      </c>
      <c r="V218" s="130">
        <f t="shared" si="50"/>
        <v>182</v>
      </c>
      <c r="W218" s="118">
        <f t="shared" si="51"/>
        <v>215</v>
      </c>
    </row>
    <row r="219" spans="1:26" ht="24.9" customHeight="1" x14ac:dyDescent="0.3">
      <c r="A219" s="131">
        <v>9</v>
      </c>
      <c r="B219" s="131">
        <v>9</v>
      </c>
      <c r="C219" s="131" t="s">
        <v>274</v>
      </c>
      <c r="D219" s="116" t="s">
        <v>318</v>
      </c>
      <c r="E219" s="132">
        <v>52</v>
      </c>
      <c r="F219" s="115">
        <v>5</v>
      </c>
      <c r="G219" s="116" t="s">
        <v>319</v>
      </c>
      <c r="H219" s="132">
        <v>15</v>
      </c>
      <c r="I219" s="115">
        <v>7</v>
      </c>
      <c r="J219" s="132">
        <v>53</v>
      </c>
      <c r="K219" s="115">
        <v>5</v>
      </c>
      <c r="L219" s="114">
        <f t="shared" si="49"/>
        <v>120</v>
      </c>
      <c r="M219" s="127">
        <f t="shared" si="48"/>
        <v>208</v>
      </c>
      <c r="N219" s="116" t="s">
        <v>320</v>
      </c>
      <c r="O219" s="132">
        <v>15.5</v>
      </c>
      <c r="P219" s="117">
        <v>7</v>
      </c>
      <c r="Q219" s="116" t="s">
        <v>321</v>
      </c>
      <c r="R219" s="132">
        <v>18</v>
      </c>
      <c r="S219" s="117">
        <v>6</v>
      </c>
      <c r="T219" s="132">
        <v>27</v>
      </c>
      <c r="U219" s="115">
        <v>4</v>
      </c>
      <c r="V219" s="130">
        <f t="shared" si="50"/>
        <v>180.5</v>
      </c>
      <c r="W219" s="118">
        <f t="shared" si="51"/>
        <v>216</v>
      </c>
    </row>
    <row r="220" spans="1:26" ht="24.9" customHeight="1" x14ac:dyDescent="0.3">
      <c r="A220" s="131">
        <v>4</v>
      </c>
      <c r="B220" s="131">
        <v>13</v>
      </c>
      <c r="C220" s="131" t="s">
        <v>275</v>
      </c>
      <c r="D220" s="116" t="s">
        <v>318</v>
      </c>
      <c r="E220" s="132">
        <v>46</v>
      </c>
      <c r="F220" s="115">
        <v>6</v>
      </c>
      <c r="G220" s="116" t="s">
        <v>319</v>
      </c>
      <c r="H220" s="132">
        <v>38</v>
      </c>
      <c r="I220" s="115">
        <v>5</v>
      </c>
      <c r="J220" s="132">
        <v>38</v>
      </c>
      <c r="K220" s="115">
        <v>7</v>
      </c>
      <c r="L220" s="114">
        <f t="shared" si="49"/>
        <v>122</v>
      </c>
      <c r="M220" s="127">
        <f t="shared" si="48"/>
        <v>203</v>
      </c>
      <c r="N220" s="116" t="s">
        <v>320</v>
      </c>
      <c r="O220" s="132">
        <v>28</v>
      </c>
      <c r="P220" s="117">
        <v>6</v>
      </c>
      <c r="Q220" s="116" t="s">
        <v>321</v>
      </c>
      <c r="R220" s="132">
        <v>17</v>
      </c>
      <c r="S220" s="117">
        <v>6</v>
      </c>
      <c r="T220" s="132">
        <v>13</v>
      </c>
      <c r="U220" s="115">
        <v>7</v>
      </c>
      <c r="V220" s="130">
        <f t="shared" si="50"/>
        <v>180</v>
      </c>
      <c r="W220" s="118">
        <f t="shared" si="51"/>
        <v>217</v>
      </c>
    </row>
    <row r="221" spans="1:26" ht="24.9" customHeight="1" x14ac:dyDescent="0.3">
      <c r="A221" s="131">
        <v>6</v>
      </c>
      <c r="B221" s="131">
        <v>1</v>
      </c>
      <c r="C221" s="131" t="s">
        <v>276</v>
      </c>
      <c r="D221" s="116" t="s">
        <v>318</v>
      </c>
      <c r="E221" s="132">
        <v>33</v>
      </c>
      <c r="F221" s="115">
        <v>7</v>
      </c>
      <c r="G221" s="116" t="s">
        <v>319</v>
      </c>
      <c r="H221" s="132">
        <v>19</v>
      </c>
      <c r="I221" s="115">
        <v>7</v>
      </c>
      <c r="J221" s="132">
        <v>33</v>
      </c>
      <c r="K221" s="115">
        <v>7</v>
      </c>
      <c r="L221" s="114">
        <f t="shared" si="49"/>
        <v>85</v>
      </c>
      <c r="M221" s="127">
        <f t="shared" si="48"/>
        <v>240</v>
      </c>
      <c r="N221" s="116" t="s">
        <v>320</v>
      </c>
      <c r="O221" s="132">
        <v>30.5</v>
      </c>
      <c r="P221" s="117">
        <v>5</v>
      </c>
      <c r="Q221" s="116" t="s">
        <v>321</v>
      </c>
      <c r="R221" s="132">
        <v>22</v>
      </c>
      <c r="S221" s="117">
        <v>5</v>
      </c>
      <c r="T221" s="132">
        <v>37</v>
      </c>
      <c r="U221" s="115">
        <v>2</v>
      </c>
      <c r="V221" s="130">
        <f t="shared" si="50"/>
        <v>174.5</v>
      </c>
      <c r="W221" s="118">
        <f t="shared" si="51"/>
        <v>218</v>
      </c>
    </row>
    <row r="222" spans="1:26" ht="24.9" customHeight="1" x14ac:dyDescent="0.3">
      <c r="A222" s="131">
        <v>8</v>
      </c>
      <c r="B222" s="131">
        <v>26</v>
      </c>
      <c r="C222" s="131" t="s">
        <v>277</v>
      </c>
      <c r="D222" s="116" t="s">
        <v>318</v>
      </c>
      <c r="E222" s="132">
        <v>46</v>
      </c>
      <c r="F222" s="115">
        <v>6</v>
      </c>
      <c r="G222" s="116" t="s">
        <v>319</v>
      </c>
      <c r="H222" s="132">
        <v>30</v>
      </c>
      <c r="I222" s="115">
        <v>6</v>
      </c>
      <c r="J222" s="132">
        <v>56</v>
      </c>
      <c r="K222" s="115">
        <v>5</v>
      </c>
      <c r="L222" s="114">
        <f t="shared" si="49"/>
        <v>132</v>
      </c>
      <c r="M222" s="127">
        <f t="shared" si="48"/>
        <v>181</v>
      </c>
      <c r="N222" s="116" t="s">
        <v>320</v>
      </c>
      <c r="O222" s="132">
        <v>16.5</v>
      </c>
      <c r="P222" s="117">
        <v>7</v>
      </c>
      <c r="Q222" s="116" t="s">
        <v>321</v>
      </c>
      <c r="R222" s="132">
        <v>11.5</v>
      </c>
      <c r="S222" s="117">
        <v>7</v>
      </c>
      <c r="T222" s="132">
        <v>14</v>
      </c>
      <c r="U222" s="115">
        <v>7</v>
      </c>
      <c r="V222" s="130">
        <f t="shared" si="50"/>
        <v>174</v>
      </c>
      <c r="W222" s="118">
        <f t="shared" si="51"/>
        <v>219</v>
      </c>
    </row>
    <row r="223" spans="1:26" ht="24.9" customHeight="1" x14ac:dyDescent="0.3">
      <c r="A223" s="131">
        <v>1</v>
      </c>
      <c r="B223" s="131">
        <v>8</v>
      </c>
      <c r="C223" s="131" t="s">
        <v>278</v>
      </c>
      <c r="D223" s="116" t="s">
        <v>318</v>
      </c>
      <c r="E223" s="132">
        <v>35</v>
      </c>
      <c r="F223" s="115">
        <v>6</v>
      </c>
      <c r="G223" s="116" t="s">
        <v>319</v>
      </c>
      <c r="H223" s="132">
        <v>30</v>
      </c>
      <c r="I223" s="115">
        <v>6</v>
      </c>
      <c r="J223" s="132">
        <v>42</v>
      </c>
      <c r="K223" s="115">
        <v>6</v>
      </c>
      <c r="L223" s="114">
        <f t="shared" si="49"/>
        <v>107</v>
      </c>
      <c r="M223" s="127">
        <f t="shared" si="48"/>
        <v>224</v>
      </c>
      <c r="N223" s="116" t="s">
        <v>320</v>
      </c>
      <c r="O223" s="132">
        <v>16</v>
      </c>
      <c r="P223" s="117">
        <v>7</v>
      </c>
      <c r="Q223" s="116" t="s">
        <v>321</v>
      </c>
      <c r="R223" s="132">
        <v>28.5</v>
      </c>
      <c r="S223" s="117">
        <v>5</v>
      </c>
      <c r="T223" s="132">
        <v>20</v>
      </c>
      <c r="U223" s="115">
        <v>5</v>
      </c>
      <c r="V223" s="130">
        <f t="shared" si="50"/>
        <v>171.5</v>
      </c>
      <c r="W223" s="118">
        <f t="shared" si="51"/>
        <v>220</v>
      </c>
    </row>
    <row r="224" spans="1:26" ht="24.9" customHeight="1" x14ac:dyDescent="0.3">
      <c r="A224" s="131">
        <v>5</v>
      </c>
      <c r="B224" s="131">
        <v>16</v>
      </c>
      <c r="C224" s="131" t="s">
        <v>13</v>
      </c>
      <c r="D224" s="116" t="s">
        <v>318</v>
      </c>
      <c r="E224" s="132">
        <v>24</v>
      </c>
      <c r="F224" s="115">
        <v>8</v>
      </c>
      <c r="G224" s="116" t="s">
        <v>319</v>
      </c>
      <c r="H224" s="132">
        <v>34</v>
      </c>
      <c r="I224" s="115">
        <v>5</v>
      </c>
      <c r="J224" s="132">
        <v>69</v>
      </c>
      <c r="K224" s="115">
        <v>4</v>
      </c>
      <c r="L224" s="114">
        <f t="shared" si="49"/>
        <v>127</v>
      </c>
      <c r="M224" s="127">
        <f t="shared" si="48"/>
        <v>195</v>
      </c>
      <c r="N224" s="116" t="s">
        <v>320</v>
      </c>
      <c r="O224" s="132">
        <v>10.5</v>
      </c>
      <c r="P224" s="117">
        <v>7</v>
      </c>
      <c r="Q224" s="116" t="s">
        <v>321</v>
      </c>
      <c r="R224" s="132">
        <v>20</v>
      </c>
      <c r="S224" s="117">
        <v>5</v>
      </c>
      <c r="T224" s="132">
        <v>13</v>
      </c>
      <c r="U224" s="115">
        <v>7</v>
      </c>
      <c r="V224" s="130">
        <f t="shared" si="50"/>
        <v>170.5</v>
      </c>
      <c r="W224" s="118">
        <f t="shared" si="51"/>
        <v>221</v>
      </c>
      <c r="Y224" s="44"/>
      <c r="Z224" s="44"/>
    </row>
    <row r="225" spans="1:26" ht="24.9" customHeight="1" x14ac:dyDescent="0.3">
      <c r="A225" s="131">
        <v>8</v>
      </c>
      <c r="B225" s="131">
        <v>24</v>
      </c>
      <c r="C225" s="131" t="s">
        <v>279</v>
      </c>
      <c r="D225" s="116" t="s">
        <v>318</v>
      </c>
      <c r="E225" s="132">
        <v>25</v>
      </c>
      <c r="F225" s="115">
        <v>7</v>
      </c>
      <c r="G225" s="116" t="s">
        <v>319</v>
      </c>
      <c r="H225" s="132">
        <v>41</v>
      </c>
      <c r="I225" s="115">
        <v>5</v>
      </c>
      <c r="J225" s="132">
        <v>42</v>
      </c>
      <c r="K225" s="115">
        <v>6</v>
      </c>
      <c r="L225" s="114">
        <f t="shared" si="49"/>
        <v>108</v>
      </c>
      <c r="M225" s="127">
        <f t="shared" si="48"/>
        <v>222</v>
      </c>
      <c r="N225" s="116" t="s">
        <v>320</v>
      </c>
      <c r="O225" s="132">
        <v>22.5</v>
      </c>
      <c r="P225" s="117">
        <v>6</v>
      </c>
      <c r="Q225" s="116" t="s">
        <v>321</v>
      </c>
      <c r="R225" s="132">
        <v>15.5</v>
      </c>
      <c r="S225" s="117">
        <v>6</v>
      </c>
      <c r="T225" s="132">
        <v>24</v>
      </c>
      <c r="U225" s="115">
        <v>5</v>
      </c>
      <c r="V225" s="130">
        <f t="shared" si="50"/>
        <v>170</v>
      </c>
      <c r="W225" s="118">
        <f t="shared" si="51"/>
        <v>222</v>
      </c>
      <c r="Y225" s="44"/>
      <c r="Z225" s="44"/>
    </row>
    <row r="226" spans="1:26" ht="24.9" customHeight="1" x14ac:dyDescent="0.3">
      <c r="A226" s="131">
        <v>10</v>
      </c>
      <c r="B226" s="131">
        <v>17</v>
      </c>
      <c r="C226" s="131" t="s">
        <v>280</v>
      </c>
      <c r="D226" s="116" t="s">
        <v>318</v>
      </c>
      <c r="E226" s="132">
        <v>54</v>
      </c>
      <c r="F226" s="115">
        <v>5</v>
      </c>
      <c r="G226" s="116" t="s">
        <v>319</v>
      </c>
      <c r="H226" s="132">
        <v>23</v>
      </c>
      <c r="I226" s="115">
        <v>6</v>
      </c>
      <c r="J226" s="132">
        <v>35</v>
      </c>
      <c r="K226" s="115">
        <v>7</v>
      </c>
      <c r="L226" s="114">
        <f t="shared" si="49"/>
        <v>112</v>
      </c>
      <c r="M226" s="127">
        <f t="shared" si="48"/>
        <v>218</v>
      </c>
      <c r="N226" s="116" t="s">
        <v>320</v>
      </c>
      <c r="O226" s="132">
        <v>19.5</v>
      </c>
      <c r="P226" s="117">
        <v>6</v>
      </c>
      <c r="Q226" s="116" t="s">
        <v>321</v>
      </c>
      <c r="R226" s="132">
        <v>14.5</v>
      </c>
      <c r="S226" s="117">
        <v>7</v>
      </c>
      <c r="T226" s="132">
        <v>24</v>
      </c>
      <c r="U226" s="115">
        <v>5</v>
      </c>
      <c r="V226" s="130">
        <f t="shared" si="50"/>
        <v>170</v>
      </c>
      <c r="W226" s="118">
        <f t="shared" si="51"/>
        <v>222</v>
      </c>
    </row>
    <row r="227" spans="1:26" ht="24.9" customHeight="1" x14ac:dyDescent="0.3">
      <c r="A227" s="131">
        <v>8</v>
      </c>
      <c r="B227" s="131">
        <v>20</v>
      </c>
      <c r="C227" s="131" t="s">
        <v>281</v>
      </c>
      <c r="D227" s="116" t="s">
        <v>318</v>
      </c>
      <c r="E227" s="132">
        <v>36</v>
      </c>
      <c r="F227" s="115">
        <v>6</v>
      </c>
      <c r="G227" s="116" t="s">
        <v>319</v>
      </c>
      <c r="H227" s="132">
        <v>34</v>
      </c>
      <c r="I227" s="115">
        <v>5</v>
      </c>
      <c r="J227" s="132">
        <v>36</v>
      </c>
      <c r="K227" s="115">
        <v>7</v>
      </c>
      <c r="L227" s="114">
        <f t="shared" si="49"/>
        <v>106</v>
      </c>
      <c r="M227" s="127">
        <f t="shared" si="48"/>
        <v>225</v>
      </c>
      <c r="N227" s="116" t="s">
        <v>320</v>
      </c>
      <c r="O227" s="132">
        <v>25.5</v>
      </c>
      <c r="P227" s="117">
        <v>6</v>
      </c>
      <c r="Q227" s="116" t="s">
        <v>321</v>
      </c>
      <c r="R227" s="132">
        <v>21</v>
      </c>
      <c r="S227" s="117">
        <v>5</v>
      </c>
      <c r="T227" s="132">
        <v>16</v>
      </c>
      <c r="U227" s="115">
        <v>6</v>
      </c>
      <c r="V227" s="130">
        <f t="shared" si="50"/>
        <v>168.5</v>
      </c>
      <c r="W227" s="118">
        <f t="shared" si="51"/>
        <v>224</v>
      </c>
    </row>
    <row r="228" spans="1:26" ht="24.9" customHeight="1" x14ac:dyDescent="0.3">
      <c r="A228" s="131">
        <v>2</v>
      </c>
      <c r="B228" s="131">
        <v>16</v>
      </c>
      <c r="C228" s="131" t="s">
        <v>282</v>
      </c>
      <c r="D228" s="116" t="s">
        <v>318</v>
      </c>
      <c r="E228" s="132">
        <v>26</v>
      </c>
      <c r="F228" s="115">
        <v>7</v>
      </c>
      <c r="G228" s="116" t="s">
        <v>319</v>
      </c>
      <c r="H228" s="132">
        <v>22</v>
      </c>
      <c r="I228" s="115">
        <v>6</v>
      </c>
      <c r="J228" s="132">
        <v>23</v>
      </c>
      <c r="K228" s="115">
        <v>8</v>
      </c>
      <c r="L228" s="114">
        <f t="shared" si="49"/>
        <v>71</v>
      </c>
      <c r="M228" s="127">
        <f t="shared" si="48"/>
        <v>253</v>
      </c>
      <c r="N228" s="116" t="s">
        <v>320</v>
      </c>
      <c r="O228" s="132">
        <v>35</v>
      </c>
      <c r="P228" s="117">
        <v>5</v>
      </c>
      <c r="Q228" s="116" t="s">
        <v>321</v>
      </c>
      <c r="R228" s="132">
        <v>31</v>
      </c>
      <c r="S228" s="117">
        <v>4</v>
      </c>
      <c r="T228" s="132">
        <v>29</v>
      </c>
      <c r="U228" s="115">
        <v>4</v>
      </c>
      <c r="V228" s="130">
        <f t="shared" si="50"/>
        <v>166</v>
      </c>
      <c r="W228" s="118">
        <f t="shared" si="51"/>
        <v>225</v>
      </c>
    </row>
    <row r="229" spans="1:26" ht="24.9" customHeight="1" x14ac:dyDescent="0.3">
      <c r="A229" s="131">
        <v>3</v>
      </c>
      <c r="B229" s="131">
        <v>15</v>
      </c>
      <c r="C229" s="131" t="s">
        <v>283</v>
      </c>
      <c r="D229" s="116" t="s">
        <v>318</v>
      </c>
      <c r="E229" s="132">
        <v>27</v>
      </c>
      <c r="F229" s="115">
        <v>7</v>
      </c>
      <c r="G229" s="116" t="s">
        <v>319</v>
      </c>
      <c r="H229" s="132">
        <v>24</v>
      </c>
      <c r="I229" s="115">
        <v>6</v>
      </c>
      <c r="J229" s="132">
        <v>53</v>
      </c>
      <c r="K229" s="115">
        <v>5</v>
      </c>
      <c r="L229" s="114">
        <f t="shared" si="49"/>
        <v>104</v>
      </c>
      <c r="M229" s="127">
        <f t="shared" si="48"/>
        <v>227</v>
      </c>
      <c r="N229" s="116" t="s">
        <v>320</v>
      </c>
      <c r="O229" s="132">
        <v>9.5</v>
      </c>
      <c r="P229" s="117">
        <v>7</v>
      </c>
      <c r="Q229" s="116" t="s">
        <v>321</v>
      </c>
      <c r="R229" s="132">
        <v>26.5</v>
      </c>
      <c r="S229" s="117">
        <v>5</v>
      </c>
      <c r="T229" s="132">
        <v>26</v>
      </c>
      <c r="U229" s="115">
        <v>4</v>
      </c>
      <c r="V229" s="130">
        <f t="shared" si="50"/>
        <v>166</v>
      </c>
      <c r="W229" s="118">
        <f t="shared" si="51"/>
        <v>225</v>
      </c>
    </row>
    <row r="230" spans="1:26" ht="24.9" customHeight="1" x14ac:dyDescent="0.3">
      <c r="A230" s="131">
        <v>8</v>
      </c>
      <c r="B230" s="131">
        <v>18</v>
      </c>
      <c r="C230" s="131" t="s">
        <v>284</v>
      </c>
      <c r="D230" s="116" t="s">
        <v>318</v>
      </c>
      <c r="E230" s="132">
        <v>29</v>
      </c>
      <c r="F230" s="115">
        <v>7</v>
      </c>
      <c r="G230" s="116" t="s">
        <v>319</v>
      </c>
      <c r="H230" s="132">
        <v>24</v>
      </c>
      <c r="I230" s="115">
        <v>6</v>
      </c>
      <c r="J230" s="132">
        <v>50</v>
      </c>
      <c r="K230" s="115">
        <v>5</v>
      </c>
      <c r="L230" s="114">
        <f t="shared" si="49"/>
        <v>103</v>
      </c>
      <c r="M230" s="127">
        <f t="shared" si="48"/>
        <v>228</v>
      </c>
      <c r="N230" s="116" t="s">
        <v>320</v>
      </c>
      <c r="O230" s="132">
        <v>27.5</v>
      </c>
      <c r="P230" s="117">
        <v>6</v>
      </c>
      <c r="Q230" s="116" t="s">
        <v>321</v>
      </c>
      <c r="R230" s="132">
        <v>21.5</v>
      </c>
      <c r="S230" s="117">
        <v>5</v>
      </c>
      <c r="T230" s="132">
        <v>14</v>
      </c>
      <c r="U230" s="115">
        <v>7</v>
      </c>
      <c r="V230" s="130">
        <f t="shared" si="50"/>
        <v>166</v>
      </c>
      <c r="W230" s="118">
        <f t="shared" si="51"/>
        <v>225</v>
      </c>
    </row>
    <row r="231" spans="1:26" ht="24.9" customHeight="1" x14ac:dyDescent="0.3">
      <c r="A231" s="131">
        <v>9</v>
      </c>
      <c r="B231" s="131">
        <v>12</v>
      </c>
      <c r="C231" s="131" t="s">
        <v>285</v>
      </c>
      <c r="D231" s="116" t="s">
        <v>318</v>
      </c>
      <c r="E231" s="132">
        <v>29</v>
      </c>
      <c r="F231" s="115">
        <v>7</v>
      </c>
      <c r="G231" s="116" t="s">
        <v>319</v>
      </c>
      <c r="H231" s="132">
        <v>36</v>
      </c>
      <c r="I231" s="115">
        <v>5</v>
      </c>
      <c r="J231" s="132">
        <v>56</v>
      </c>
      <c r="K231" s="115">
        <v>5</v>
      </c>
      <c r="L231" s="114">
        <f t="shared" si="49"/>
        <v>121</v>
      </c>
      <c r="M231" s="127">
        <f t="shared" si="48"/>
        <v>206</v>
      </c>
      <c r="N231" s="116" t="s">
        <v>320</v>
      </c>
      <c r="O231" s="132">
        <v>11</v>
      </c>
      <c r="P231" s="117">
        <v>7</v>
      </c>
      <c r="Q231" s="116" t="s">
        <v>321</v>
      </c>
      <c r="R231" s="132">
        <v>15.5</v>
      </c>
      <c r="S231" s="117">
        <v>6</v>
      </c>
      <c r="T231" s="132">
        <v>18</v>
      </c>
      <c r="U231" s="115">
        <v>6</v>
      </c>
      <c r="V231" s="130">
        <f t="shared" si="50"/>
        <v>165.5</v>
      </c>
      <c r="W231" s="118">
        <f t="shared" si="51"/>
        <v>228</v>
      </c>
    </row>
    <row r="232" spans="1:26" ht="24.9" customHeight="1" x14ac:dyDescent="0.3">
      <c r="A232" s="131">
        <v>3</v>
      </c>
      <c r="B232" s="131">
        <v>16</v>
      </c>
      <c r="C232" s="131" t="s">
        <v>286</v>
      </c>
      <c r="D232" s="116" t="s">
        <v>318</v>
      </c>
      <c r="E232" s="132">
        <v>27</v>
      </c>
      <c r="F232" s="115">
        <v>7</v>
      </c>
      <c r="G232" s="116" t="s">
        <v>319</v>
      </c>
      <c r="H232" s="132">
        <v>30</v>
      </c>
      <c r="I232" s="115">
        <v>6</v>
      </c>
      <c r="J232" s="132">
        <v>38</v>
      </c>
      <c r="K232" s="115">
        <v>7</v>
      </c>
      <c r="L232" s="114">
        <f t="shared" si="49"/>
        <v>95</v>
      </c>
      <c r="M232" s="127">
        <f t="shared" si="48"/>
        <v>236</v>
      </c>
      <c r="N232" s="116" t="s">
        <v>320</v>
      </c>
      <c r="O232" s="132">
        <v>30</v>
      </c>
      <c r="P232" s="117">
        <v>5</v>
      </c>
      <c r="Q232" s="116" t="s">
        <v>321</v>
      </c>
      <c r="R232" s="132">
        <v>20.5</v>
      </c>
      <c r="S232" s="117">
        <v>5</v>
      </c>
      <c r="T232" s="132">
        <v>19</v>
      </c>
      <c r="U232" s="115">
        <v>6</v>
      </c>
      <c r="V232" s="130">
        <f t="shared" si="50"/>
        <v>164.5</v>
      </c>
      <c r="W232" s="118">
        <f t="shared" si="51"/>
        <v>229</v>
      </c>
      <c r="Y232" s="44"/>
      <c r="Z232" s="44"/>
    </row>
    <row r="233" spans="1:26" ht="24.9" customHeight="1" x14ac:dyDescent="0.3">
      <c r="A233" s="131">
        <v>3</v>
      </c>
      <c r="B233" s="131">
        <v>18</v>
      </c>
      <c r="C233" s="131" t="s">
        <v>16</v>
      </c>
      <c r="D233" s="116" t="s">
        <v>318</v>
      </c>
      <c r="E233" s="132">
        <v>40</v>
      </c>
      <c r="F233" s="115">
        <v>6</v>
      </c>
      <c r="G233" s="116" t="s">
        <v>319</v>
      </c>
      <c r="H233" s="132">
        <v>12</v>
      </c>
      <c r="I233" s="115">
        <v>8</v>
      </c>
      <c r="J233" s="132">
        <v>25</v>
      </c>
      <c r="K233" s="115">
        <v>8</v>
      </c>
      <c r="L233" s="114">
        <f t="shared" si="49"/>
        <v>77</v>
      </c>
      <c r="M233" s="127">
        <f t="shared" si="48"/>
        <v>249</v>
      </c>
      <c r="N233" s="116" t="s">
        <v>320</v>
      </c>
      <c r="O233" s="132">
        <v>39</v>
      </c>
      <c r="P233" s="117">
        <v>4</v>
      </c>
      <c r="Q233" s="116" t="s">
        <v>321</v>
      </c>
      <c r="R233" s="132">
        <v>22.5</v>
      </c>
      <c r="S233" s="117">
        <v>5</v>
      </c>
      <c r="T233" s="132">
        <v>25</v>
      </c>
      <c r="U233" s="115">
        <v>4</v>
      </c>
      <c r="V233" s="130">
        <f t="shared" si="50"/>
        <v>163.5</v>
      </c>
      <c r="W233" s="118">
        <f t="shared" si="51"/>
        <v>230</v>
      </c>
    </row>
    <row r="234" spans="1:26" ht="24.9" customHeight="1" x14ac:dyDescent="0.3">
      <c r="A234" s="131">
        <v>6</v>
      </c>
      <c r="B234" s="131">
        <v>27</v>
      </c>
      <c r="C234" s="131" t="s">
        <v>287</v>
      </c>
      <c r="D234" s="116" t="s">
        <v>318</v>
      </c>
      <c r="E234" s="132">
        <v>19</v>
      </c>
      <c r="F234" s="115">
        <v>8</v>
      </c>
      <c r="G234" s="116" t="s">
        <v>319</v>
      </c>
      <c r="H234" s="132">
        <v>39</v>
      </c>
      <c r="I234" s="115">
        <v>5</v>
      </c>
      <c r="J234" s="132">
        <v>63</v>
      </c>
      <c r="K234" s="115">
        <v>4</v>
      </c>
      <c r="L234" s="114">
        <f t="shared" si="49"/>
        <v>121</v>
      </c>
      <c r="M234" s="127">
        <f t="shared" si="48"/>
        <v>206</v>
      </c>
      <c r="N234" s="116" t="s">
        <v>320</v>
      </c>
      <c r="O234" s="132">
        <v>21</v>
      </c>
      <c r="P234" s="117">
        <v>6</v>
      </c>
      <c r="Q234" s="116" t="s">
        <v>321</v>
      </c>
      <c r="R234" s="132">
        <v>12</v>
      </c>
      <c r="S234" s="117">
        <v>7</v>
      </c>
      <c r="T234" s="132">
        <v>8</v>
      </c>
      <c r="U234" s="115">
        <v>8</v>
      </c>
      <c r="V234" s="130">
        <f t="shared" si="50"/>
        <v>162</v>
      </c>
      <c r="W234" s="118">
        <f t="shared" si="51"/>
        <v>231</v>
      </c>
    </row>
    <row r="235" spans="1:26" ht="24.9" customHeight="1" x14ac:dyDescent="0.3">
      <c r="A235" s="131">
        <v>7</v>
      </c>
      <c r="B235" s="131">
        <v>28</v>
      </c>
      <c r="C235" s="131" t="s">
        <v>288</v>
      </c>
      <c r="D235" s="116" t="s">
        <v>318</v>
      </c>
      <c r="E235" s="132">
        <v>24</v>
      </c>
      <c r="F235" s="115">
        <v>8</v>
      </c>
      <c r="G235" s="116" t="s">
        <v>319</v>
      </c>
      <c r="H235" s="132">
        <v>21</v>
      </c>
      <c r="I235" s="115">
        <v>6</v>
      </c>
      <c r="J235" s="132">
        <v>53</v>
      </c>
      <c r="K235" s="115">
        <v>5</v>
      </c>
      <c r="L235" s="114">
        <f t="shared" si="49"/>
        <v>98</v>
      </c>
      <c r="M235" s="127">
        <f t="shared" si="48"/>
        <v>232</v>
      </c>
      <c r="N235" s="116" t="s">
        <v>320</v>
      </c>
      <c r="O235" s="132">
        <v>27.5</v>
      </c>
      <c r="P235" s="117">
        <v>6</v>
      </c>
      <c r="Q235" s="116" t="s">
        <v>321</v>
      </c>
      <c r="R235" s="132">
        <v>17</v>
      </c>
      <c r="S235" s="117">
        <v>6</v>
      </c>
      <c r="T235" s="132">
        <v>19</v>
      </c>
      <c r="U235" s="115">
        <v>6</v>
      </c>
      <c r="V235" s="130">
        <f t="shared" si="50"/>
        <v>161.5</v>
      </c>
      <c r="W235" s="118">
        <f t="shared" si="51"/>
        <v>232</v>
      </c>
    </row>
    <row r="236" spans="1:26" ht="24.9" customHeight="1" thickBot="1" x14ac:dyDescent="0.35">
      <c r="A236" s="131">
        <v>3</v>
      </c>
      <c r="B236" s="131">
        <v>21</v>
      </c>
      <c r="C236" s="131" t="s">
        <v>289</v>
      </c>
      <c r="D236" s="116" t="s">
        <v>318</v>
      </c>
      <c r="E236" s="132">
        <v>43</v>
      </c>
      <c r="F236" s="115">
        <v>6</v>
      </c>
      <c r="G236" s="116" t="s">
        <v>319</v>
      </c>
      <c r="H236" s="132">
        <v>29</v>
      </c>
      <c r="I236" s="115">
        <v>6</v>
      </c>
      <c r="J236" s="132">
        <v>44</v>
      </c>
      <c r="K236" s="126">
        <v>6</v>
      </c>
      <c r="L236" s="114">
        <f t="shared" si="49"/>
        <v>116</v>
      </c>
      <c r="M236" s="127">
        <f t="shared" si="48"/>
        <v>214</v>
      </c>
      <c r="N236" s="116" t="s">
        <v>320</v>
      </c>
      <c r="O236" s="132">
        <v>24.5</v>
      </c>
      <c r="P236" s="128">
        <v>6</v>
      </c>
      <c r="Q236" s="116" t="s">
        <v>321</v>
      </c>
      <c r="R236" s="132">
        <v>8.5</v>
      </c>
      <c r="S236" s="128">
        <v>8</v>
      </c>
      <c r="T236" s="132">
        <v>12</v>
      </c>
      <c r="U236" s="126">
        <v>7</v>
      </c>
      <c r="V236" s="130">
        <f t="shared" si="50"/>
        <v>161</v>
      </c>
      <c r="W236" s="118">
        <f t="shared" si="51"/>
        <v>233</v>
      </c>
    </row>
    <row r="237" spans="1:26" ht="15" x14ac:dyDescent="0.3">
      <c r="A237" s="131">
        <v>3</v>
      </c>
      <c r="B237" s="131">
        <v>8</v>
      </c>
      <c r="C237" s="131" t="s">
        <v>33</v>
      </c>
      <c r="D237" s="116" t="s">
        <v>318</v>
      </c>
      <c r="E237" s="132">
        <v>22</v>
      </c>
      <c r="F237" s="19">
        <v>8</v>
      </c>
      <c r="G237" s="116" t="s">
        <v>319</v>
      </c>
      <c r="H237" s="132">
        <v>10</v>
      </c>
      <c r="I237" s="19">
        <v>8</v>
      </c>
      <c r="J237" s="132">
        <v>61</v>
      </c>
      <c r="K237" s="19">
        <v>4</v>
      </c>
      <c r="L237" s="114">
        <f t="shared" si="49"/>
        <v>93</v>
      </c>
      <c r="M237" s="127">
        <f t="shared" si="48"/>
        <v>237</v>
      </c>
      <c r="N237" s="116" t="s">
        <v>320</v>
      </c>
      <c r="O237" s="132">
        <v>21.5</v>
      </c>
      <c r="P237" s="19">
        <v>6</v>
      </c>
      <c r="Q237" s="116" t="s">
        <v>321</v>
      </c>
      <c r="R237" s="132">
        <v>19</v>
      </c>
      <c r="S237" s="19">
        <v>6</v>
      </c>
      <c r="T237" s="132">
        <v>27</v>
      </c>
      <c r="U237" s="19">
        <v>4</v>
      </c>
      <c r="V237" s="130">
        <f t="shared" si="50"/>
        <v>160.5</v>
      </c>
      <c r="W237" s="118">
        <f t="shared" si="51"/>
        <v>234</v>
      </c>
    </row>
    <row r="238" spans="1:26" ht="15" x14ac:dyDescent="0.3">
      <c r="A238" s="131">
        <v>6</v>
      </c>
      <c r="B238" s="131">
        <v>10</v>
      </c>
      <c r="C238" s="131" t="s">
        <v>290</v>
      </c>
      <c r="D238" s="116" t="s">
        <v>318</v>
      </c>
      <c r="E238" s="132">
        <v>20</v>
      </c>
      <c r="F238" s="19">
        <v>8</v>
      </c>
      <c r="G238" s="116" t="s">
        <v>319</v>
      </c>
      <c r="H238" s="132">
        <v>30</v>
      </c>
      <c r="I238" s="19">
        <v>6</v>
      </c>
      <c r="J238" s="132">
        <v>46</v>
      </c>
      <c r="K238" s="19">
        <v>6</v>
      </c>
      <c r="L238" s="114">
        <f t="shared" si="49"/>
        <v>96</v>
      </c>
      <c r="M238" s="127">
        <f t="shared" si="48"/>
        <v>235</v>
      </c>
      <c r="N238" s="116" t="s">
        <v>320</v>
      </c>
      <c r="O238" s="132">
        <v>5.5</v>
      </c>
      <c r="P238" s="19">
        <v>9</v>
      </c>
      <c r="Q238" s="116" t="s">
        <v>321</v>
      </c>
      <c r="R238" s="132">
        <v>38.5</v>
      </c>
      <c r="S238" s="19">
        <v>3</v>
      </c>
      <c r="T238" s="132">
        <v>20</v>
      </c>
      <c r="U238" s="19">
        <v>5</v>
      </c>
      <c r="V238" s="130">
        <f t="shared" si="50"/>
        <v>160</v>
      </c>
      <c r="W238" s="118">
        <f t="shared" si="51"/>
        <v>235</v>
      </c>
    </row>
    <row r="239" spans="1:26" ht="15" x14ac:dyDescent="0.3">
      <c r="A239" s="131">
        <v>1</v>
      </c>
      <c r="B239" s="131">
        <v>14</v>
      </c>
      <c r="C239" s="131" t="s">
        <v>291</v>
      </c>
      <c r="D239" s="116" t="s">
        <v>318</v>
      </c>
      <c r="E239" s="132">
        <v>42</v>
      </c>
      <c r="F239" s="19">
        <v>6</v>
      </c>
      <c r="G239" s="116" t="s">
        <v>319</v>
      </c>
      <c r="H239" s="132">
        <v>40</v>
      </c>
      <c r="I239" s="19">
        <v>5</v>
      </c>
      <c r="J239" s="132">
        <v>29</v>
      </c>
      <c r="K239" s="19">
        <v>8</v>
      </c>
      <c r="L239" s="114">
        <f t="shared" si="49"/>
        <v>111</v>
      </c>
      <c r="M239" s="127">
        <f t="shared" si="48"/>
        <v>219</v>
      </c>
      <c r="N239" s="116" t="s">
        <v>320</v>
      </c>
      <c r="O239" s="132">
        <v>7</v>
      </c>
      <c r="P239" s="19">
        <v>9</v>
      </c>
      <c r="Q239" s="116" t="s">
        <v>321</v>
      </c>
      <c r="R239" s="132">
        <v>12</v>
      </c>
      <c r="S239" s="19">
        <v>7</v>
      </c>
      <c r="T239" s="132">
        <v>29</v>
      </c>
      <c r="U239" s="19">
        <v>4</v>
      </c>
      <c r="V239" s="130">
        <f t="shared" si="50"/>
        <v>159</v>
      </c>
      <c r="W239" s="118">
        <f t="shared" si="51"/>
        <v>236</v>
      </c>
    </row>
    <row r="240" spans="1:26" ht="15" x14ac:dyDescent="0.3">
      <c r="A240" s="131">
        <v>3</v>
      </c>
      <c r="B240" s="131">
        <v>22</v>
      </c>
      <c r="C240" s="131" t="s">
        <v>292</v>
      </c>
      <c r="D240" s="116" t="s">
        <v>318</v>
      </c>
      <c r="E240" s="132">
        <v>26</v>
      </c>
      <c r="F240" s="19">
        <v>7</v>
      </c>
      <c r="G240" s="116" t="s">
        <v>319</v>
      </c>
      <c r="H240" s="132">
        <v>39</v>
      </c>
      <c r="I240" s="19">
        <v>5</v>
      </c>
      <c r="J240" s="132">
        <v>43</v>
      </c>
      <c r="K240" s="19">
        <v>6</v>
      </c>
      <c r="L240" s="114">
        <f t="shared" si="49"/>
        <v>108</v>
      </c>
      <c r="M240" s="127">
        <f t="shared" si="48"/>
        <v>222</v>
      </c>
      <c r="N240" s="116" t="s">
        <v>320</v>
      </c>
      <c r="O240" s="132">
        <v>20.5</v>
      </c>
      <c r="P240" s="19">
        <v>6</v>
      </c>
      <c r="Q240" s="116" t="s">
        <v>321</v>
      </c>
      <c r="R240" s="132">
        <v>7</v>
      </c>
      <c r="S240" s="19">
        <v>9</v>
      </c>
      <c r="T240" s="132">
        <v>18</v>
      </c>
      <c r="U240" s="19">
        <v>6</v>
      </c>
      <c r="V240" s="130">
        <f t="shared" si="50"/>
        <v>153.5</v>
      </c>
      <c r="W240" s="118">
        <f t="shared" si="51"/>
        <v>237</v>
      </c>
    </row>
    <row r="241" spans="1:23" ht="15" x14ac:dyDescent="0.3">
      <c r="A241" s="131">
        <v>10</v>
      </c>
      <c r="B241" s="131">
        <v>16</v>
      </c>
      <c r="C241" s="131" t="s">
        <v>293</v>
      </c>
      <c r="D241" s="116" t="s">
        <v>318</v>
      </c>
      <c r="E241" s="132">
        <v>40</v>
      </c>
      <c r="F241" s="19">
        <v>6</v>
      </c>
      <c r="G241" s="116" t="s">
        <v>319</v>
      </c>
      <c r="H241" s="132">
        <v>24</v>
      </c>
      <c r="I241" s="19">
        <v>6</v>
      </c>
      <c r="J241" s="132">
        <v>38</v>
      </c>
      <c r="K241" s="19">
        <v>7</v>
      </c>
      <c r="L241" s="114">
        <f t="shared" si="49"/>
        <v>102</v>
      </c>
      <c r="M241" s="127">
        <f t="shared" si="48"/>
        <v>229</v>
      </c>
      <c r="N241" s="116" t="s">
        <v>320</v>
      </c>
      <c r="O241" s="132">
        <v>34</v>
      </c>
      <c r="P241" s="19">
        <v>5</v>
      </c>
      <c r="Q241" s="116" t="s">
        <v>321</v>
      </c>
      <c r="R241" s="132">
        <v>9</v>
      </c>
      <c r="S241" s="19">
        <v>8</v>
      </c>
      <c r="T241" s="132">
        <v>5</v>
      </c>
      <c r="U241" s="19">
        <v>8</v>
      </c>
      <c r="V241" s="130">
        <f t="shared" si="50"/>
        <v>150</v>
      </c>
      <c r="W241" s="118">
        <f t="shared" si="51"/>
        <v>238</v>
      </c>
    </row>
    <row r="242" spans="1:23" ht="15" x14ac:dyDescent="0.3">
      <c r="A242" s="131">
        <v>1</v>
      </c>
      <c r="B242" s="131">
        <v>12</v>
      </c>
      <c r="C242" s="131" t="s">
        <v>34</v>
      </c>
      <c r="D242" s="116" t="s">
        <v>318</v>
      </c>
      <c r="E242" s="132">
        <v>21</v>
      </c>
      <c r="F242" s="19">
        <v>8</v>
      </c>
      <c r="G242" s="116" t="s">
        <v>319</v>
      </c>
      <c r="H242" s="132">
        <v>22</v>
      </c>
      <c r="I242" s="19">
        <v>6</v>
      </c>
      <c r="J242" s="132">
        <v>38</v>
      </c>
      <c r="K242" s="19">
        <v>7</v>
      </c>
      <c r="L242" s="114">
        <f t="shared" si="49"/>
        <v>81</v>
      </c>
      <c r="M242" s="127">
        <f t="shared" si="48"/>
        <v>242</v>
      </c>
      <c r="N242" s="116" t="s">
        <v>320</v>
      </c>
      <c r="O242" s="132">
        <v>31</v>
      </c>
      <c r="P242" s="19">
        <v>5</v>
      </c>
      <c r="Q242" s="116" t="s">
        <v>321</v>
      </c>
      <c r="R242" s="132">
        <v>10.5</v>
      </c>
      <c r="S242" s="19">
        <v>7</v>
      </c>
      <c r="T242" s="132">
        <v>22</v>
      </c>
      <c r="U242" s="19">
        <v>5</v>
      </c>
      <c r="V242" s="130">
        <f t="shared" si="50"/>
        <v>144.5</v>
      </c>
      <c r="W242" s="118">
        <f t="shared" si="51"/>
        <v>239</v>
      </c>
    </row>
    <row r="243" spans="1:23" ht="15" x14ac:dyDescent="0.3">
      <c r="A243" s="131">
        <v>1</v>
      </c>
      <c r="B243" s="131">
        <v>27</v>
      </c>
      <c r="C243" s="131" t="s">
        <v>294</v>
      </c>
      <c r="D243" s="116" t="s">
        <v>318</v>
      </c>
      <c r="E243" s="132">
        <v>20</v>
      </c>
      <c r="F243" s="19">
        <v>8</v>
      </c>
      <c r="G243" s="116" t="s">
        <v>319</v>
      </c>
      <c r="H243" s="132">
        <v>15</v>
      </c>
      <c r="I243" s="19">
        <v>7</v>
      </c>
      <c r="J243" s="132">
        <v>43</v>
      </c>
      <c r="K243" s="19">
        <v>6</v>
      </c>
      <c r="L243" s="114">
        <f t="shared" si="49"/>
        <v>78</v>
      </c>
      <c r="M243" s="127">
        <f t="shared" si="48"/>
        <v>248</v>
      </c>
      <c r="N243" s="116" t="s">
        <v>320</v>
      </c>
      <c r="O243" s="132">
        <v>12</v>
      </c>
      <c r="P243" s="19">
        <v>7</v>
      </c>
      <c r="Q243" s="116" t="s">
        <v>321</v>
      </c>
      <c r="R243" s="132">
        <v>20</v>
      </c>
      <c r="S243" s="19">
        <v>5</v>
      </c>
      <c r="T243" s="132">
        <v>33</v>
      </c>
      <c r="U243" s="19">
        <v>3</v>
      </c>
      <c r="V243" s="130">
        <f t="shared" si="50"/>
        <v>143</v>
      </c>
      <c r="W243" s="118">
        <f t="shared" si="51"/>
        <v>240</v>
      </c>
    </row>
    <row r="244" spans="1:23" ht="15" x14ac:dyDescent="0.3">
      <c r="A244" s="131">
        <v>8</v>
      </c>
      <c r="B244" s="131">
        <v>5</v>
      </c>
      <c r="C244" s="131" t="s">
        <v>295</v>
      </c>
      <c r="D244" s="116" t="s">
        <v>318</v>
      </c>
      <c r="E244" s="132">
        <v>26</v>
      </c>
      <c r="F244" s="19">
        <v>7</v>
      </c>
      <c r="G244" s="116" t="s">
        <v>319</v>
      </c>
      <c r="H244" s="132">
        <v>28</v>
      </c>
      <c r="I244" s="19">
        <v>6</v>
      </c>
      <c r="J244" s="132">
        <v>46</v>
      </c>
      <c r="K244" s="19">
        <v>6</v>
      </c>
      <c r="L244" s="114">
        <f t="shared" si="49"/>
        <v>100</v>
      </c>
      <c r="M244" s="127">
        <f t="shared" si="48"/>
        <v>231</v>
      </c>
      <c r="N244" s="116" t="s">
        <v>320</v>
      </c>
      <c r="O244" s="132">
        <v>9.5</v>
      </c>
      <c r="P244" s="19">
        <v>7</v>
      </c>
      <c r="Q244" s="116" t="s">
        <v>321</v>
      </c>
      <c r="R244" s="132">
        <v>16.5</v>
      </c>
      <c r="S244" s="19">
        <v>6</v>
      </c>
      <c r="T244" s="132">
        <v>17</v>
      </c>
      <c r="U244" s="19">
        <v>6</v>
      </c>
      <c r="V244" s="130">
        <f t="shared" si="50"/>
        <v>143</v>
      </c>
      <c r="W244" s="118">
        <f t="shared" si="51"/>
        <v>240</v>
      </c>
    </row>
    <row r="245" spans="1:23" ht="15" x14ac:dyDescent="0.3">
      <c r="A245" s="131">
        <v>1</v>
      </c>
      <c r="B245" s="131">
        <v>5</v>
      </c>
      <c r="C245" s="131" t="s">
        <v>27</v>
      </c>
      <c r="D245" s="116" t="s">
        <v>318</v>
      </c>
      <c r="E245" s="132">
        <v>22</v>
      </c>
      <c r="F245" s="19">
        <v>8</v>
      </c>
      <c r="G245" s="116" t="s">
        <v>319</v>
      </c>
      <c r="H245" s="132">
        <v>24</v>
      </c>
      <c r="I245" s="19">
        <v>6</v>
      </c>
      <c r="J245" s="132">
        <v>59</v>
      </c>
      <c r="K245" s="19">
        <v>5</v>
      </c>
      <c r="L245" s="114">
        <f t="shared" si="49"/>
        <v>105</v>
      </c>
      <c r="M245" s="127">
        <f t="shared" si="48"/>
        <v>226</v>
      </c>
      <c r="N245" s="116" t="s">
        <v>320</v>
      </c>
      <c r="O245" s="132">
        <v>14.5</v>
      </c>
      <c r="P245" s="19">
        <v>7</v>
      </c>
      <c r="Q245" s="116" t="s">
        <v>321</v>
      </c>
      <c r="R245" s="132">
        <v>10.5</v>
      </c>
      <c r="S245" s="19">
        <v>7</v>
      </c>
      <c r="T245" s="132">
        <v>10</v>
      </c>
      <c r="U245" s="19">
        <v>7</v>
      </c>
      <c r="V245" s="130">
        <f t="shared" si="50"/>
        <v>140</v>
      </c>
      <c r="W245" s="118">
        <f t="shared" si="51"/>
        <v>242</v>
      </c>
    </row>
    <row r="246" spans="1:23" ht="15" x14ac:dyDescent="0.3">
      <c r="A246" s="131">
        <v>9</v>
      </c>
      <c r="B246" s="131">
        <v>13</v>
      </c>
      <c r="C246" s="131" t="s">
        <v>296</v>
      </c>
      <c r="D246" s="116" t="s">
        <v>318</v>
      </c>
      <c r="E246" s="132">
        <v>19</v>
      </c>
      <c r="F246" s="19">
        <v>8</v>
      </c>
      <c r="G246" s="116" t="s">
        <v>319</v>
      </c>
      <c r="H246" s="132">
        <v>8</v>
      </c>
      <c r="I246" s="19">
        <v>8</v>
      </c>
      <c r="J246" s="132">
        <v>38</v>
      </c>
      <c r="K246" s="19">
        <v>7</v>
      </c>
      <c r="L246" s="114">
        <f t="shared" si="49"/>
        <v>65</v>
      </c>
      <c r="M246" s="127">
        <f t="shared" si="48"/>
        <v>259</v>
      </c>
      <c r="N246" s="116" t="s">
        <v>320</v>
      </c>
      <c r="O246" s="132">
        <v>28.5</v>
      </c>
      <c r="P246" s="19">
        <v>6</v>
      </c>
      <c r="Q246" s="116" t="s">
        <v>321</v>
      </c>
      <c r="R246" s="132">
        <v>13</v>
      </c>
      <c r="S246" s="19">
        <v>7</v>
      </c>
      <c r="T246" s="132">
        <v>30</v>
      </c>
      <c r="U246" s="19">
        <v>3</v>
      </c>
      <c r="V246" s="130">
        <f t="shared" si="50"/>
        <v>136.5</v>
      </c>
      <c r="W246" s="118">
        <f t="shared" si="51"/>
        <v>243</v>
      </c>
    </row>
    <row r="247" spans="1:23" ht="15" x14ac:dyDescent="0.3">
      <c r="A247" s="131">
        <v>6</v>
      </c>
      <c r="B247" s="131">
        <v>8</v>
      </c>
      <c r="C247" s="131" t="s">
        <v>297</v>
      </c>
      <c r="D247" s="116" t="s">
        <v>318</v>
      </c>
      <c r="E247" s="132">
        <v>22</v>
      </c>
      <c r="F247" s="19">
        <v>8</v>
      </c>
      <c r="G247" s="116" t="s">
        <v>319</v>
      </c>
      <c r="H247" s="132">
        <v>10</v>
      </c>
      <c r="I247" s="19">
        <v>8</v>
      </c>
      <c r="J247" s="132">
        <v>44</v>
      </c>
      <c r="K247" s="19">
        <v>6</v>
      </c>
      <c r="L247" s="114">
        <f t="shared" si="49"/>
        <v>76</v>
      </c>
      <c r="M247" s="127">
        <f t="shared" si="48"/>
        <v>251</v>
      </c>
      <c r="N247" s="116" t="s">
        <v>320</v>
      </c>
      <c r="O247" s="132">
        <v>35</v>
      </c>
      <c r="P247" s="19">
        <v>5</v>
      </c>
      <c r="Q247" s="116" t="s">
        <v>321</v>
      </c>
      <c r="R247" s="132">
        <v>15.5</v>
      </c>
      <c r="S247" s="19">
        <v>6</v>
      </c>
      <c r="T247" s="132">
        <v>9</v>
      </c>
      <c r="U247" s="19">
        <v>8</v>
      </c>
      <c r="V247" s="130">
        <f t="shared" si="50"/>
        <v>135.5</v>
      </c>
      <c r="W247" s="118">
        <f t="shared" si="51"/>
        <v>244</v>
      </c>
    </row>
    <row r="248" spans="1:23" ht="15" x14ac:dyDescent="0.3">
      <c r="A248" s="131">
        <v>2</v>
      </c>
      <c r="B248" s="131">
        <v>25</v>
      </c>
      <c r="C248" s="131" t="s">
        <v>196</v>
      </c>
      <c r="D248" s="116" t="s">
        <v>318</v>
      </c>
      <c r="E248" s="132">
        <v>18</v>
      </c>
      <c r="F248" s="19">
        <v>8</v>
      </c>
      <c r="G248" s="116" t="s">
        <v>319</v>
      </c>
      <c r="H248" s="132">
        <v>24</v>
      </c>
      <c r="I248" s="19">
        <v>6</v>
      </c>
      <c r="J248" s="132">
        <v>38</v>
      </c>
      <c r="K248" s="19">
        <v>7</v>
      </c>
      <c r="L248" s="114">
        <f t="shared" si="49"/>
        <v>80</v>
      </c>
      <c r="M248" s="127">
        <f t="shared" si="48"/>
        <v>243</v>
      </c>
      <c r="N248" s="116" t="s">
        <v>320</v>
      </c>
      <c r="O248" s="132">
        <v>14.5</v>
      </c>
      <c r="P248" s="19">
        <v>7</v>
      </c>
      <c r="Q248" s="116" t="s">
        <v>321</v>
      </c>
      <c r="R248" s="132">
        <v>16</v>
      </c>
      <c r="S248" s="19">
        <v>6</v>
      </c>
      <c r="T248" s="132">
        <v>24</v>
      </c>
      <c r="U248" s="19">
        <v>5</v>
      </c>
      <c r="V248" s="130">
        <f t="shared" si="50"/>
        <v>134.5</v>
      </c>
      <c r="W248" s="118">
        <f t="shared" si="51"/>
        <v>245</v>
      </c>
    </row>
    <row r="249" spans="1:23" ht="15" x14ac:dyDescent="0.3">
      <c r="A249" s="131">
        <v>6</v>
      </c>
      <c r="B249" s="131">
        <v>17</v>
      </c>
      <c r="C249" s="131" t="s">
        <v>298</v>
      </c>
      <c r="D249" s="116" t="s">
        <v>318</v>
      </c>
      <c r="E249" s="132">
        <v>30</v>
      </c>
      <c r="F249" s="19">
        <v>7</v>
      </c>
      <c r="G249" s="116" t="s">
        <v>319</v>
      </c>
      <c r="H249" s="132">
        <v>10</v>
      </c>
      <c r="I249" s="19">
        <v>8</v>
      </c>
      <c r="J249" s="132">
        <v>30</v>
      </c>
      <c r="K249" s="19">
        <v>7</v>
      </c>
      <c r="L249" s="114">
        <f t="shared" si="49"/>
        <v>70</v>
      </c>
      <c r="M249" s="127">
        <f t="shared" si="48"/>
        <v>255</v>
      </c>
      <c r="N249" s="116" t="s">
        <v>320</v>
      </c>
      <c r="O249" s="132">
        <v>31</v>
      </c>
      <c r="P249" s="19">
        <v>5</v>
      </c>
      <c r="Q249" s="116" t="s">
        <v>321</v>
      </c>
      <c r="R249" s="132">
        <v>12.5</v>
      </c>
      <c r="S249" s="19">
        <v>7</v>
      </c>
      <c r="T249" s="132">
        <v>20</v>
      </c>
      <c r="U249" s="19">
        <v>5</v>
      </c>
      <c r="V249" s="130">
        <f t="shared" si="50"/>
        <v>133.5</v>
      </c>
      <c r="W249" s="118">
        <f t="shared" si="51"/>
        <v>246</v>
      </c>
    </row>
    <row r="250" spans="1:23" ht="15" x14ac:dyDescent="0.3">
      <c r="A250" s="131">
        <v>8</v>
      </c>
      <c r="B250" s="131">
        <v>2</v>
      </c>
      <c r="C250" s="131" t="s">
        <v>299</v>
      </c>
      <c r="D250" s="116" t="s">
        <v>318</v>
      </c>
      <c r="E250" s="132">
        <v>25</v>
      </c>
      <c r="F250" s="19">
        <v>7</v>
      </c>
      <c r="G250" s="116" t="s">
        <v>319</v>
      </c>
      <c r="H250" s="132">
        <v>16</v>
      </c>
      <c r="I250" s="19">
        <v>7</v>
      </c>
      <c r="J250" s="132">
        <v>39</v>
      </c>
      <c r="K250" s="19">
        <v>7</v>
      </c>
      <c r="L250" s="114">
        <f t="shared" si="49"/>
        <v>80</v>
      </c>
      <c r="M250" s="127">
        <f t="shared" si="48"/>
        <v>243</v>
      </c>
      <c r="N250" s="116" t="s">
        <v>320</v>
      </c>
      <c r="O250" s="132">
        <v>23</v>
      </c>
      <c r="P250" s="19">
        <v>6</v>
      </c>
      <c r="Q250" s="116" t="s">
        <v>321</v>
      </c>
      <c r="R250" s="132">
        <v>12.5</v>
      </c>
      <c r="S250" s="19">
        <v>7</v>
      </c>
      <c r="T250" s="132">
        <v>17</v>
      </c>
      <c r="U250" s="19">
        <v>6</v>
      </c>
      <c r="V250" s="130">
        <f t="shared" si="50"/>
        <v>132.5</v>
      </c>
      <c r="W250" s="118">
        <f t="shared" si="51"/>
        <v>247</v>
      </c>
    </row>
    <row r="251" spans="1:23" ht="15" x14ac:dyDescent="0.3">
      <c r="A251" s="131">
        <v>6</v>
      </c>
      <c r="B251" s="131">
        <v>5</v>
      </c>
      <c r="C251" s="131" t="s">
        <v>74</v>
      </c>
      <c r="D251" s="116" t="s">
        <v>318</v>
      </c>
      <c r="E251" s="132">
        <v>20</v>
      </c>
      <c r="F251" s="19">
        <v>8</v>
      </c>
      <c r="G251" s="116" t="s">
        <v>319</v>
      </c>
      <c r="H251" s="132">
        <v>12</v>
      </c>
      <c r="I251" s="19">
        <v>8</v>
      </c>
      <c r="J251" s="132">
        <v>66</v>
      </c>
      <c r="K251" s="19">
        <v>4</v>
      </c>
      <c r="L251" s="114">
        <f t="shared" si="49"/>
        <v>98</v>
      </c>
      <c r="M251" s="127">
        <f t="shared" si="48"/>
        <v>232</v>
      </c>
      <c r="N251" s="116" t="s">
        <v>320</v>
      </c>
      <c r="O251" s="132">
        <v>11</v>
      </c>
      <c r="P251" s="19">
        <v>7</v>
      </c>
      <c r="Q251" s="116" t="s">
        <v>321</v>
      </c>
      <c r="R251" s="132">
        <v>11</v>
      </c>
      <c r="S251" s="19">
        <v>7</v>
      </c>
      <c r="T251" s="132">
        <v>12</v>
      </c>
      <c r="U251" s="19">
        <v>7</v>
      </c>
      <c r="V251" s="130">
        <f t="shared" si="50"/>
        <v>132</v>
      </c>
      <c r="W251" s="118">
        <f t="shared" si="51"/>
        <v>248</v>
      </c>
    </row>
    <row r="252" spans="1:23" ht="15" x14ac:dyDescent="0.3">
      <c r="A252" s="131">
        <v>1</v>
      </c>
      <c r="B252" s="131">
        <v>10</v>
      </c>
      <c r="C252" s="131" t="s">
        <v>300</v>
      </c>
      <c r="D252" s="116" t="s">
        <v>318</v>
      </c>
      <c r="E252" s="132">
        <v>17</v>
      </c>
      <c r="F252" s="19">
        <v>8</v>
      </c>
      <c r="G252" s="116" t="s">
        <v>319</v>
      </c>
      <c r="H252" s="132">
        <v>16</v>
      </c>
      <c r="I252" s="19">
        <v>7</v>
      </c>
      <c r="J252" s="132">
        <v>34</v>
      </c>
      <c r="K252" s="19">
        <v>7</v>
      </c>
      <c r="L252" s="114">
        <f t="shared" si="49"/>
        <v>67</v>
      </c>
      <c r="M252" s="127">
        <f t="shared" si="48"/>
        <v>258</v>
      </c>
      <c r="N252" s="116" t="s">
        <v>320</v>
      </c>
      <c r="O252" s="132">
        <v>35</v>
      </c>
      <c r="P252" s="19">
        <v>5</v>
      </c>
      <c r="Q252" s="116" t="s">
        <v>321</v>
      </c>
      <c r="R252" s="132">
        <v>16.5</v>
      </c>
      <c r="S252" s="19">
        <v>6</v>
      </c>
      <c r="T252" s="132">
        <v>13</v>
      </c>
      <c r="U252" s="19">
        <v>7</v>
      </c>
      <c r="V252" s="130">
        <f t="shared" si="50"/>
        <v>131.5</v>
      </c>
      <c r="W252" s="118">
        <f t="shared" si="51"/>
        <v>249</v>
      </c>
    </row>
    <row r="253" spans="1:23" ht="15" x14ac:dyDescent="0.3">
      <c r="A253" s="131">
        <v>5</v>
      </c>
      <c r="B253" s="131">
        <v>29</v>
      </c>
      <c r="C253" s="131" t="s">
        <v>301</v>
      </c>
      <c r="D253" s="116" t="s">
        <v>318</v>
      </c>
      <c r="E253" s="132">
        <v>23</v>
      </c>
      <c r="F253" s="19">
        <v>8</v>
      </c>
      <c r="G253" s="116" t="s">
        <v>319</v>
      </c>
      <c r="H253" s="132">
        <v>12</v>
      </c>
      <c r="I253" s="19">
        <v>8</v>
      </c>
      <c r="J253" s="132">
        <v>44</v>
      </c>
      <c r="K253" s="19">
        <v>6</v>
      </c>
      <c r="L253" s="114">
        <f t="shared" si="49"/>
        <v>79</v>
      </c>
      <c r="M253" s="127">
        <f t="shared" si="48"/>
        <v>246</v>
      </c>
      <c r="N253" s="116" t="s">
        <v>320</v>
      </c>
      <c r="O253" s="132">
        <v>10.5</v>
      </c>
      <c r="P253" s="19">
        <v>7</v>
      </c>
      <c r="Q253" s="116" t="s">
        <v>321</v>
      </c>
      <c r="R253" s="132">
        <v>22.5</v>
      </c>
      <c r="S253" s="19">
        <v>5</v>
      </c>
      <c r="T253" s="132">
        <v>19</v>
      </c>
      <c r="U253" s="19">
        <v>6</v>
      </c>
      <c r="V253" s="130">
        <f t="shared" si="50"/>
        <v>131</v>
      </c>
      <c r="W253" s="118">
        <f t="shared" si="51"/>
        <v>250</v>
      </c>
    </row>
    <row r="254" spans="1:23" ht="15" x14ac:dyDescent="0.3">
      <c r="A254" s="131">
        <v>1</v>
      </c>
      <c r="B254" s="131">
        <v>16</v>
      </c>
      <c r="C254" s="131" t="s">
        <v>302</v>
      </c>
      <c r="D254" s="116" t="s">
        <v>318</v>
      </c>
      <c r="E254" s="132">
        <v>23</v>
      </c>
      <c r="F254" s="19">
        <v>8</v>
      </c>
      <c r="G254" s="116" t="s">
        <v>319</v>
      </c>
      <c r="H254" s="132">
        <v>24</v>
      </c>
      <c r="I254" s="19">
        <v>6</v>
      </c>
      <c r="J254" s="132">
        <v>44</v>
      </c>
      <c r="K254" s="19">
        <v>6</v>
      </c>
      <c r="L254" s="114">
        <f t="shared" si="49"/>
        <v>91</v>
      </c>
      <c r="M254" s="127">
        <f t="shared" si="48"/>
        <v>238</v>
      </c>
      <c r="N254" s="116" t="s">
        <v>320</v>
      </c>
      <c r="O254" s="132">
        <v>12</v>
      </c>
      <c r="P254" s="19">
        <v>7</v>
      </c>
      <c r="Q254" s="116" t="s">
        <v>321</v>
      </c>
      <c r="R254" s="132">
        <v>6</v>
      </c>
      <c r="S254" s="19">
        <v>9</v>
      </c>
      <c r="T254" s="132">
        <v>18</v>
      </c>
      <c r="U254" s="19">
        <v>6</v>
      </c>
      <c r="V254" s="130">
        <f t="shared" si="50"/>
        <v>127</v>
      </c>
      <c r="W254" s="118">
        <f t="shared" si="51"/>
        <v>251</v>
      </c>
    </row>
    <row r="255" spans="1:23" ht="15" x14ac:dyDescent="0.3">
      <c r="A255" s="131">
        <v>7</v>
      </c>
      <c r="B255" s="131">
        <v>18</v>
      </c>
      <c r="C255" s="131" t="s">
        <v>303</v>
      </c>
      <c r="D255" s="116" t="s">
        <v>318</v>
      </c>
      <c r="E255" s="132">
        <v>17</v>
      </c>
      <c r="F255" s="19">
        <v>8</v>
      </c>
      <c r="G255" s="116" t="s">
        <v>319</v>
      </c>
      <c r="H255" s="132">
        <v>27</v>
      </c>
      <c r="I255" s="19">
        <v>6</v>
      </c>
      <c r="J255" s="132">
        <v>24</v>
      </c>
      <c r="K255" s="19">
        <v>8</v>
      </c>
      <c r="L255" s="114">
        <f t="shared" si="49"/>
        <v>68</v>
      </c>
      <c r="M255" s="127">
        <f t="shared" si="48"/>
        <v>257</v>
      </c>
      <c r="N255" s="116" t="s">
        <v>320</v>
      </c>
      <c r="O255" s="132">
        <v>17.5</v>
      </c>
      <c r="P255" s="19">
        <v>6</v>
      </c>
      <c r="Q255" s="116" t="s">
        <v>321</v>
      </c>
      <c r="R255" s="132">
        <v>21</v>
      </c>
      <c r="S255" s="19">
        <v>5</v>
      </c>
      <c r="T255" s="132">
        <v>20</v>
      </c>
      <c r="U255" s="19">
        <v>5</v>
      </c>
      <c r="V255" s="130">
        <f t="shared" si="50"/>
        <v>126.5</v>
      </c>
      <c r="W255" s="118">
        <f t="shared" si="51"/>
        <v>252</v>
      </c>
    </row>
    <row r="256" spans="1:23" ht="15" x14ac:dyDescent="0.3">
      <c r="A256" s="131">
        <v>6</v>
      </c>
      <c r="B256" s="131">
        <v>6</v>
      </c>
      <c r="C256" s="131" t="s">
        <v>75</v>
      </c>
      <c r="D256" s="116" t="s">
        <v>318</v>
      </c>
      <c r="E256" s="132">
        <v>33</v>
      </c>
      <c r="F256" s="19">
        <v>7</v>
      </c>
      <c r="G256" s="116" t="s">
        <v>319</v>
      </c>
      <c r="H256" s="132">
        <v>12</v>
      </c>
      <c r="I256" s="19">
        <v>8</v>
      </c>
      <c r="J256" s="132">
        <v>40</v>
      </c>
      <c r="K256" s="19">
        <v>6</v>
      </c>
      <c r="L256" s="114">
        <f t="shared" si="49"/>
        <v>85</v>
      </c>
      <c r="M256" s="127">
        <f t="shared" si="48"/>
        <v>240</v>
      </c>
      <c r="N256" s="116" t="s">
        <v>320</v>
      </c>
      <c r="O256" s="132">
        <v>12</v>
      </c>
      <c r="P256" s="19">
        <v>7</v>
      </c>
      <c r="Q256" s="116" t="s">
        <v>321</v>
      </c>
      <c r="R256" s="132">
        <v>13</v>
      </c>
      <c r="S256" s="19">
        <v>7</v>
      </c>
      <c r="T256" s="132">
        <v>14</v>
      </c>
      <c r="U256" s="19">
        <v>7</v>
      </c>
      <c r="V256" s="130">
        <f t="shared" si="50"/>
        <v>124</v>
      </c>
      <c r="W256" s="118">
        <f t="shared" si="51"/>
        <v>253</v>
      </c>
    </row>
    <row r="257" spans="1:23" ht="15" x14ac:dyDescent="0.3">
      <c r="A257" s="131">
        <v>4</v>
      </c>
      <c r="B257" s="131">
        <v>28</v>
      </c>
      <c r="C257" s="131" t="s">
        <v>304</v>
      </c>
      <c r="D257" s="116" t="s">
        <v>318</v>
      </c>
      <c r="E257" s="132">
        <v>19</v>
      </c>
      <c r="F257" s="19">
        <v>8</v>
      </c>
      <c r="G257" s="116" t="s">
        <v>319</v>
      </c>
      <c r="H257" s="132">
        <v>20</v>
      </c>
      <c r="I257" s="19">
        <v>7</v>
      </c>
      <c r="J257" s="132">
        <v>40</v>
      </c>
      <c r="K257" s="19">
        <v>6</v>
      </c>
      <c r="L257" s="114">
        <f t="shared" si="49"/>
        <v>79</v>
      </c>
      <c r="M257" s="127">
        <f t="shared" si="48"/>
        <v>246</v>
      </c>
      <c r="N257" s="116" t="s">
        <v>320</v>
      </c>
      <c r="O257" s="132">
        <v>21</v>
      </c>
      <c r="P257" s="19">
        <v>6</v>
      </c>
      <c r="Q257" s="116" t="s">
        <v>321</v>
      </c>
      <c r="R257" s="132">
        <v>9</v>
      </c>
      <c r="S257" s="19">
        <v>8</v>
      </c>
      <c r="T257" s="132">
        <v>13</v>
      </c>
      <c r="U257" s="19">
        <v>7</v>
      </c>
      <c r="V257" s="130">
        <f t="shared" si="50"/>
        <v>122</v>
      </c>
      <c r="W257" s="118">
        <f t="shared" si="51"/>
        <v>254</v>
      </c>
    </row>
    <row r="258" spans="1:23" ht="15" x14ac:dyDescent="0.3">
      <c r="A258" s="131">
        <v>2</v>
      </c>
      <c r="B258" s="131">
        <v>6</v>
      </c>
      <c r="C258" s="131" t="s">
        <v>305</v>
      </c>
      <c r="D258" s="116" t="s">
        <v>318</v>
      </c>
      <c r="E258" s="132">
        <v>17</v>
      </c>
      <c r="F258" s="19">
        <v>8</v>
      </c>
      <c r="G258" s="116" t="s">
        <v>319</v>
      </c>
      <c r="H258" s="132">
        <v>25</v>
      </c>
      <c r="I258" s="19">
        <v>6</v>
      </c>
      <c r="J258" s="132">
        <v>29</v>
      </c>
      <c r="K258" s="19">
        <v>8</v>
      </c>
      <c r="L258" s="114">
        <f t="shared" si="49"/>
        <v>71</v>
      </c>
      <c r="M258" s="127">
        <f t="shared" si="48"/>
        <v>253</v>
      </c>
      <c r="N258" s="116" t="s">
        <v>320</v>
      </c>
      <c r="O258" s="132">
        <v>23</v>
      </c>
      <c r="P258" s="19">
        <v>6</v>
      </c>
      <c r="Q258" s="116" t="s">
        <v>321</v>
      </c>
      <c r="R258" s="132">
        <v>11</v>
      </c>
      <c r="S258" s="19">
        <v>7</v>
      </c>
      <c r="T258" s="132">
        <v>15</v>
      </c>
      <c r="U258" s="19">
        <v>6</v>
      </c>
      <c r="V258" s="130">
        <f t="shared" si="50"/>
        <v>120</v>
      </c>
      <c r="W258" s="118">
        <f t="shared" si="51"/>
        <v>255</v>
      </c>
    </row>
    <row r="259" spans="1:23" ht="15" x14ac:dyDescent="0.3">
      <c r="A259" s="131">
        <v>6</v>
      </c>
      <c r="B259" s="131">
        <v>11</v>
      </c>
      <c r="C259" s="131" t="s">
        <v>306</v>
      </c>
      <c r="D259" s="116" t="s">
        <v>318</v>
      </c>
      <c r="E259" s="132">
        <v>18</v>
      </c>
      <c r="F259" s="19">
        <v>8</v>
      </c>
      <c r="G259" s="116" t="s">
        <v>319</v>
      </c>
      <c r="H259" s="132">
        <v>18</v>
      </c>
      <c r="I259" s="19">
        <v>7</v>
      </c>
      <c r="J259" s="132">
        <v>34</v>
      </c>
      <c r="K259" s="19">
        <v>7</v>
      </c>
      <c r="L259" s="114">
        <f t="shared" si="49"/>
        <v>70</v>
      </c>
      <c r="M259" s="127">
        <f t="shared" si="48"/>
        <v>255</v>
      </c>
      <c r="N259" s="116" t="s">
        <v>320</v>
      </c>
      <c r="O259" s="132">
        <v>16.5</v>
      </c>
      <c r="P259" s="19">
        <v>7</v>
      </c>
      <c r="Q259" s="116" t="s">
        <v>321</v>
      </c>
      <c r="R259" s="132">
        <v>9.5</v>
      </c>
      <c r="S259" s="19">
        <v>8</v>
      </c>
      <c r="T259" s="132">
        <v>24</v>
      </c>
      <c r="U259" s="19">
        <v>5</v>
      </c>
      <c r="V259" s="130">
        <f t="shared" si="50"/>
        <v>120</v>
      </c>
      <c r="W259" s="118">
        <f t="shared" si="51"/>
        <v>255</v>
      </c>
    </row>
    <row r="260" spans="1:23" ht="15" x14ac:dyDescent="0.3">
      <c r="A260" s="131">
        <v>10</v>
      </c>
      <c r="B260" s="131">
        <v>7</v>
      </c>
      <c r="C260" s="131" t="s">
        <v>307</v>
      </c>
      <c r="D260" s="116" t="s">
        <v>318</v>
      </c>
      <c r="E260" s="132">
        <v>32</v>
      </c>
      <c r="F260" s="19">
        <v>7</v>
      </c>
      <c r="G260" s="116" t="s">
        <v>319</v>
      </c>
      <c r="H260" s="132">
        <v>16</v>
      </c>
      <c r="I260" s="19">
        <v>7</v>
      </c>
      <c r="J260" s="132">
        <v>25</v>
      </c>
      <c r="K260" s="19">
        <v>8</v>
      </c>
      <c r="L260" s="114">
        <f t="shared" si="49"/>
        <v>73</v>
      </c>
      <c r="M260" s="127">
        <f t="shared" ref="M260:M273" si="52">RANK(L260,$L$4:$L$491)</f>
        <v>252</v>
      </c>
      <c r="N260" s="116" t="s">
        <v>320</v>
      </c>
      <c r="O260" s="132">
        <v>26.5</v>
      </c>
      <c r="P260" s="19">
        <v>6</v>
      </c>
      <c r="Q260" s="116" t="s">
        <v>321</v>
      </c>
      <c r="R260" s="132">
        <v>9.5</v>
      </c>
      <c r="S260" s="19">
        <v>8</v>
      </c>
      <c r="T260" s="132">
        <v>11</v>
      </c>
      <c r="U260" s="19">
        <v>7</v>
      </c>
      <c r="V260" s="130">
        <f t="shared" si="50"/>
        <v>120</v>
      </c>
      <c r="W260" s="118">
        <f t="shared" si="51"/>
        <v>255</v>
      </c>
    </row>
    <row r="261" spans="1:23" ht="15" x14ac:dyDescent="0.3">
      <c r="A261" s="131">
        <v>10</v>
      </c>
      <c r="B261" s="131">
        <v>5</v>
      </c>
      <c r="C261" s="131" t="s">
        <v>78</v>
      </c>
      <c r="D261" s="116" t="s">
        <v>318</v>
      </c>
      <c r="E261" s="132">
        <v>33</v>
      </c>
      <c r="F261" s="19">
        <v>7</v>
      </c>
      <c r="G261" s="116" t="s">
        <v>319</v>
      </c>
      <c r="H261" s="132">
        <v>18</v>
      </c>
      <c r="I261" s="19">
        <v>7</v>
      </c>
      <c r="J261" s="132">
        <v>29</v>
      </c>
      <c r="K261" s="19">
        <v>8</v>
      </c>
      <c r="L261" s="114">
        <f t="shared" ref="L261:L273" si="53">SUM(E261,H261,J261)</f>
        <v>80</v>
      </c>
      <c r="M261" s="127">
        <f t="shared" si="52"/>
        <v>243</v>
      </c>
      <c r="N261" s="116" t="s">
        <v>320</v>
      </c>
      <c r="O261" s="132">
        <v>7</v>
      </c>
      <c r="P261" s="19">
        <v>9</v>
      </c>
      <c r="Q261" s="116" t="s">
        <v>321</v>
      </c>
      <c r="R261" s="132">
        <v>16</v>
      </c>
      <c r="S261" s="19">
        <v>6</v>
      </c>
      <c r="T261" s="132">
        <v>14</v>
      </c>
      <c r="U261" s="19">
        <v>7</v>
      </c>
      <c r="V261" s="130">
        <f t="shared" ref="V261:V273" si="54">SUM(L261,T261,R261,O261)</f>
        <v>117</v>
      </c>
      <c r="W261" s="118">
        <f t="shared" ref="W261:W273" si="55">RANK(V261,$V$4:$V$491)</f>
        <v>258</v>
      </c>
    </row>
    <row r="262" spans="1:23" ht="15" x14ac:dyDescent="0.3">
      <c r="A262" s="131">
        <v>4</v>
      </c>
      <c r="B262" s="131">
        <v>12</v>
      </c>
      <c r="C262" s="131" t="s">
        <v>308</v>
      </c>
      <c r="D262" s="116" t="s">
        <v>318</v>
      </c>
      <c r="E262" s="132">
        <v>23</v>
      </c>
      <c r="F262" s="19">
        <v>8</v>
      </c>
      <c r="G262" s="116" t="s">
        <v>319</v>
      </c>
      <c r="H262" s="132">
        <v>19</v>
      </c>
      <c r="I262" s="19">
        <v>7</v>
      </c>
      <c r="J262" s="132">
        <v>35</v>
      </c>
      <c r="K262" s="19">
        <v>7</v>
      </c>
      <c r="L262" s="114">
        <f t="shared" si="53"/>
        <v>77</v>
      </c>
      <c r="M262" s="127">
        <f t="shared" si="52"/>
        <v>249</v>
      </c>
      <c r="N262" s="116" t="s">
        <v>320</v>
      </c>
      <c r="O262" s="132">
        <v>11.5</v>
      </c>
      <c r="P262" s="19">
        <v>7</v>
      </c>
      <c r="Q262" s="116" t="s">
        <v>321</v>
      </c>
      <c r="R262" s="132">
        <v>11</v>
      </c>
      <c r="S262" s="19">
        <v>7</v>
      </c>
      <c r="T262" s="132">
        <v>12</v>
      </c>
      <c r="U262" s="19">
        <v>7</v>
      </c>
      <c r="V262" s="130">
        <f t="shared" si="54"/>
        <v>111.5</v>
      </c>
      <c r="W262" s="118">
        <f t="shared" si="55"/>
        <v>259</v>
      </c>
    </row>
    <row r="263" spans="1:23" ht="15" x14ac:dyDescent="0.3">
      <c r="A263" s="131">
        <v>5</v>
      </c>
      <c r="B263" s="131">
        <v>24</v>
      </c>
      <c r="C263" s="131" t="s">
        <v>309</v>
      </c>
      <c r="D263" s="116" t="s">
        <v>318</v>
      </c>
      <c r="E263" s="132">
        <v>22</v>
      </c>
      <c r="F263" s="19">
        <v>8</v>
      </c>
      <c r="G263" s="116" t="s">
        <v>319</v>
      </c>
      <c r="H263" s="132">
        <v>7</v>
      </c>
      <c r="I263" s="19">
        <v>9</v>
      </c>
      <c r="J263" s="132">
        <v>30</v>
      </c>
      <c r="K263" s="19">
        <v>7</v>
      </c>
      <c r="L263" s="114">
        <f t="shared" si="53"/>
        <v>59</v>
      </c>
      <c r="M263" s="127">
        <f t="shared" si="52"/>
        <v>264</v>
      </c>
      <c r="N263" s="116" t="s">
        <v>320</v>
      </c>
      <c r="O263" s="132">
        <v>17.5</v>
      </c>
      <c r="P263" s="19">
        <v>6</v>
      </c>
      <c r="Q263" s="116" t="s">
        <v>321</v>
      </c>
      <c r="R263" s="132">
        <v>14.5</v>
      </c>
      <c r="S263" s="19">
        <v>7</v>
      </c>
      <c r="T263" s="132">
        <v>18</v>
      </c>
      <c r="U263" s="19">
        <v>6</v>
      </c>
      <c r="V263" s="130">
        <f t="shared" si="54"/>
        <v>109</v>
      </c>
      <c r="W263" s="118">
        <f t="shared" si="55"/>
        <v>260</v>
      </c>
    </row>
    <row r="264" spans="1:23" ht="15" x14ac:dyDescent="0.3">
      <c r="A264" s="131">
        <v>9</v>
      </c>
      <c r="B264" s="131">
        <v>2</v>
      </c>
      <c r="C264" s="131" t="s">
        <v>310</v>
      </c>
      <c r="D264" s="116" t="s">
        <v>318</v>
      </c>
      <c r="E264" s="132">
        <v>18</v>
      </c>
      <c r="F264" s="19">
        <v>8</v>
      </c>
      <c r="G264" s="116" t="s">
        <v>319</v>
      </c>
      <c r="H264" s="132">
        <v>17</v>
      </c>
      <c r="I264" s="19">
        <v>7</v>
      </c>
      <c r="J264" s="132">
        <v>30</v>
      </c>
      <c r="K264" s="19">
        <v>7</v>
      </c>
      <c r="L264" s="114">
        <f t="shared" si="53"/>
        <v>65</v>
      </c>
      <c r="M264" s="127">
        <f t="shared" si="52"/>
        <v>259</v>
      </c>
      <c r="N264" s="116" t="s">
        <v>320</v>
      </c>
      <c r="O264" s="132">
        <v>11</v>
      </c>
      <c r="P264" s="19">
        <v>7</v>
      </c>
      <c r="Q264" s="116" t="s">
        <v>321</v>
      </c>
      <c r="R264" s="132">
        <v>9.5</v>
      </c>
      <c r="S264" s="19">
        <v>8</v>
      </c>
      <c r="T264" s="132">
        <v>22</v>
      </c>
      <c r="U264" s="19">
        <v>5</v>
      </c>
      <c r="V264" s="130">
        <f t="shared" si="54"/>
        <v>107.5</v>
      </c>
      <c r="W264" s="118">
        <f t="shared" si="55"/>
        <v>261</v>
      </c>
    </row>
    <row r="265" spans="1:23" ht="15" x14ac:dyDescent="0.3">
      <c r="A265" s="131">
        <v>5</v>
      </c>
      <c r="B265" s="131">
        <v>2</v>
      </c>
      <c r="C265" s="131" t="s">
        <v>14</v>
      </c>
      <c r="D265" s="116" t="s">
        <v>318</v>
      </c>
      <c r="E265" s="132">
        <v>23</v>
      </c>
      <c r="F265" s="19">
        <v>8</v>
      </c>
      <c r="G265" s="116" t="s">
        <v>319</v>
      </c>
      <c r="H265" s="132">
        <v>12</v>
      </c>
      <c r="I265" s="19">
        <v>8</v>
      </c>
      <c r="J265" s="132">
        <v>29</v>
      </c>
      <c r="K265" s="19">
        <v>8</v>
      </c>
      <c r="L265" s="114">
        <f t="shared" si="53"/>
        <v>64</v>
      </c>
      <c r="M265" s="127">
        <f t="shared" si="52"/>
        <v>262</v>
      </c>
      <c r="N265" s="116" t="s">
        <v>320</v>
      </c>
      <c r="O265" s="132">
        <v>11</v>
      </c>
      <c r="P265" s="19">
        <v>7</v>
      </c>
      <c r="Q265" s="116" t="s">
        <v>321</v>
      </c>
      <c r="R265" s="132">
        <v>9.5</v>
      </c>
      <c r="S265" s="19">
        <v>8</v>
      </c>
      <c r="T265" s="132">
        <v>17</v>
      </c>
      <c r="U265" s="19">
        <v>6</v>
      </c>
      <c r="V265" s="130">
        <f t="shared" si="54"/>
        <v>101.5</v>
      </c>
      <c r="W265" s="118">
        <f t="shared" si="55"/>
        <v>262</v>
      </c>
    </row>
    <row r="266" spans="1:23" ht="15" x14ac:dyDescent="0.3">
      <c r="A266" s="131">
        <v>5</v>
      </c>
      <c r="B266" s="131">
        <v>20</v>
      </c>
      <c r="C266" s="131" t="s">
        <v>311</v>
      </c>
      <c r="D266" s="116" t="s">
        <v>318</v>
      </c>
      <c r="E266" s="132">
        <v>20</v>
      </c>
      <c r="F266" s="19">
        <v>8</v>
      </c>
      <c r="G266" s="116" t="s">
        <v>319</v>
      </c>
      <c r="H266" s="132">
        <v>15</v>
      </c>
      <c r="I266" s="19">
        <v>7</v>
      </c>
      <c r="J266" s="132">
        <v>25</v>
      </c>
      <c r="K266" s="19">
        <v>8</v>
      </c>
      <c r="L266" s="114">
        <f t="shared" si="53"/>
        <v>60</v>
      </c>
      <c r="M266" s="127">
        <f t="shared" si="52"/>
        <v>263</v>
      </c>
      <c r="N266" s="116" t="s">
        <v>320</v>
      </c>
      <c r="O266" s="132">
        <v>11</v>
      </c>
      <c r="P266" s="19">
        <v>7</v>
      </c>
      <c r="Q266" s="116" t="s">
        <v>321</v>
      </c>
      <c r="R266" s="132">
        <v>14</v>
      </c>
      <c r="S266" s="19">
        <v>7</v>
      </c>
      <c r="T266" s="132">
        <v>12</v>
      </c>
      <c r="U266" s="19">
        <v>7</v>
      </c>
      <c r="V266" s="130">
        <f t="shared" si="54"/>
        <v>97</v>
      </c>
      <c r="W266" s="118">
        <f t="shared" si="55"/>
        <v>263</v>
      </c>
    </row>
    <row r="267" spans="1:23" ht="15" x14ac:dyDescent="0.3">
      <c r="A267" s="131">
        <v>8</v>
      </c>
      <c r="B267" s="131">
        <v>21</v>
      </c>
      <c r="C267" s="131" t="s">
        <v>312</v>
      </c>
      <c r="D267" s="116" t="s">
        <v>318</v>
      </c>
      <c r="E267" s="132">
        <v>27</v>
      </c>
      <c r="F267" s="19">
        <v>7</v>
      </c>
      <c r="G267" s="116" t="s">
        <v>319</v>
      </c>
      <c r="H267" s="132">
        <v>12</v>
      </c>
      <c r="I267" s="19">
        <v>8</v>
      </c>
      <c r="J267" s="132">
        <v>17</v>
      </c>
      <c r="K267" s="19">
        <v>9</v>
      </c>
      <c r="L267" s="114">
        <f t="shared" si="53"/>
        <v>56</v>
      </c>
      <c r="M267" s="127">
        <f t="shared" si="52"/>
        <v>266</v>
      </c>
      <c r="N267" s="116" t="s">
        <v>320</v>
      </c>
      <c r="O267" s="132">
        <v>16.5</v>
      </c>
      <c r="P267" s="19">
        <v>7</v>
      </c>
      <c r="Q267" s="116" t="s">
        <v>321</v>
      </c>
      <c r="R267" s="132">
        <v>9</v>
      </c>
      <c r="S267" s="19">
        <v>8</v>
      </c>
      <c r="T267" s="132">
        <v>14</v>
      </c>
      <c r="U267" s="19">
        <v>7</v>
      </c>
      <c r="V267" s="130">
        <f t="shared" si="54"/>
        <v>95.5</v>
      </c>
      <c r="W267" s="118">
        <f t="shared" si="55"/>
        <v>264</v>
      </c>
    </row>
    <row r="268" spans="1:23" ht="15" x14ac:dyDescent="0.3">
      <c r="A268" s="131">
        <v>10</v>
      </c>
      <c r="B268" s="131">
        <v>11</v>
      </c>
      <c r="C268" s="131" t="s">
        <v>313</v>
      </c>
      <c r="D268" s="116" t="s">
        <v>318</v>
      </c>
      <c r="E268" s="132">
        <v>29</v>
      </c>
      <c r="F268" s="19">
        <v>7</v>
      </c>
      <c r="G268" s="116" t="s">
        <v>319</v>
      </c>
      <c r="H268" s="132">
        <v>12</v>
      </c>
      <c r="I268" s="19">
        <v>8</v>
      </c>
      <c r="J268" s="132">
        <v>24</v>
      </c>
      <c r="K268" s="19">
        <v>8</v>
      </c>
      <c r="L268" s="114">
        <f t="shared" si="53"/>
        <v>65</v>
      </c>
      <c r="M268" s="127">
        <f t="shared" si="52"/>
        <v>259</v>
      </c>
      <c r="N268" s="116" t="s">
        <v>320</v>
      </c>
      <c r="O268" s="132">
        <v>8</v>
      </c>
      <c r="P268" s="19">
        <v>8</v>
      </c>
      <c r="Q268" s="116" t="s">
        <v>321</v>
      </c>
      <c r="R268" s="132">
        <v>7</v>
      </c>
      <c r="S268" s="19">
        <v>9</v>
      </c>
      <c r="T268" s="132">
        <v>15</v>
      </c>
      <c r="U268" s="19">
        <v>6</v>
      </c>
      <c r="V268" s="130">
        <f t="shared" si="54"/>
        <v>95</v>
      </c>
      <c r="W268" s="118">
        <f t="shared" si="55"/>
        <v>265</v>
      </c>
    </row>
    <row r="269" spans="1:23" ht="15" x14ac:dyDescent="0.3">
      <c r="A269" s="131">
        <v>6</v>
      </c>
      <c r="B269" s="131">
        <v>19</v>
      </c>
      <c r="C269" s="131" t="s">
        <v>314</v>
      </c>
      <c r="D269" s="116" t="s">
        <v>318</v>
      </c>
      <c r="E269" s="132">
        <v>19</v>
      </c>
      <c r="F269" s="19">
        <v>8</v>
      </c>
      <c r="G269" s="116" t="s">
        <v>319</v>
      </c>
      <c r="H269" s="132">
        <v>12</v>
      </c>
      <c r="I269" s="19">
        <v>8</v>
      </c>
      <c r="J269" s="132">
        <v>24</v>
      </c>
      <c r="K269" s="19">
        <v>8</v>
      </c>
      <c r="L269" s="114">
        <f t="shared" si="53"/>
        <v>55</v>
      </c>
      <c r="M269" s="127">
        <f t="shared" si="52"/>
        <v>267</v>
      </c>
      <c r="N269" s="116" t="s">
        <v>320</v>
      </c>
      <c r="O269" s="132">
        <v>10.5</v>
      </c>
      <c r="P269" s="19">
        <v>7</v>
      </c>
      <c r="Q269" s="116" t="s">
        <v>321</v>
      </c>
      <c r="R269" s="132">
        <v>12</v>
      </c>
      <c r="S269" s="19">
        <v>7</v>
      </c>
      <c r="T269" s="132">
        <v>16</v>
      </c>
      <c r="U269" s="19">
        <v>6</v>
      </c>
      <c r="V269" s="130">
        <f t="shared" si="54"/>
        <v>93.5</v>
      </c>
      <c r="W269" s="118">
        <f t="shared" si="55"/>
        <v>266</v>
      </c>
    </row>
    <row r="270" spans="1:23" ht="15" x14ac:dyDescent="0.3">
      <c r="A270" s="131">
        <v>2</v>
      </c>
      <c r="B270" s="131">
        <v>20</v>
      </c>
      <c r="C270" s="131" t="s">
        <v>315</v>
      </c>
      <c r="D270" s="116" t="s">
        <v>318</v>
      </c>
      <c r="E270" s="132">
        <v>22</v>
      </c>
      <c r="F270" s="19">
        <v>8</v>
      </c>
      <c r="G270" s="116" t="s">
        <v>319</v>
      </c>
      <c r="H270" s="132">
        <v>26</v>
      </c>
      <c r="I270" s="19">
        <v>6</v>
      </c>
      <c r="J270" s="132">
        <v>0</v>
      </c>
      <c r="K270" s="19">
        <v>9</v>
      </c>
      <c r="L270" s="114">
        <f t="shared" si="53"/>
        <v>48</v>
      </c>
      <c r="M270" s="127">
        <f t="shared" si="52"/>
        <v>269</v>
      </c>
      <c r="N270" s="116" t="s">
        <v>320</v>
      </c>
      <c r="O270" s="132">
        <v>11.5</v>
      </c>
      <c r="P270" s="19">
        <v>7</v>
      </c>
      <c r="Q270" s="116" t="s">
        <v>321</v>
      </c>
      <c r="R270" s="132">
        <v>14.5</v>
      </c>
      <c r="S270" s="19">
        <v>7</v>
      </c>
      <c r="T270" s="132">
        <v>18</v>
      </c>
      <c r="U270" s="19">
        <v>6</v>
      </c>
      <c r="V270" s="130">
        <f t="shared" si="54"/>
        <v>92</v>
      </c>
      <c r="W270" s="118">
        <f t="shared" si="55"/>
        <v>267</v>
      </c>
    </row>
    <row r="271" spans="1:23" ht="15" x14ac:dyDescent="0.3">
      <c r="A271" s="131">
        <v>5</v>
      </c>
      <c r="B271" s="131">
        <v>21</v>
      </c>
      <c r="C271" s="131" t="s">
        <v>316</v>
      </c>
      <c r="D271" s="116" t="s">
        <v>318</v>
      </c>
      <c r="E271" s="132">
        <v>16</v>
      </c>
      <c r="F271" s="19">
        <v>9</v>
      </c>
      <c r="G271" s="116" t="s">
        <v>319</v>
      </c>
      <c r="H271" s="132">
        <v>18</v>
      </c>
      <c r="I271" s="19">
        <v>7</v>
      </c>
      <c r="J271" s="132">
        <v>21</v>
      </c>
      <c r="K271" s="19">
        <v>8</v>
      </c>
      <c r="L271" s="114">
        <f t="shared" si="53"/>
        <v>55</v>
      </c>
      <c r="M271" s="127">
        <f t="shared" si="52"/>
        <v>267</v>
      </c>
      <c r="N271" s="116" t="s">
        <v>320</v>
      </c>
      <c r="O271" s="132">
        <v>9.5</v>
      </c>
      <c r="P271" s="19">
        <v>7</v>
      </c>
      <c r="Q271" s="116" t="s">
        <v>321</v>
      </c>
      <c r="R271" s="132">
        <v>10.5</v>
      </c>
      <c r="S271" s="19">
        <v>7</v>
      </c>
      <c r="T271" s="132">
        <v>11</v>
      </c>
      <c r="U271" s="19">
        <v>7</v>
      </c>
      <c r="V271" s="130">
        <f t="shared" si="54"/>
        <v>86</v>
      </c>
      <c r="W271" s="118">
        <f t="shared" si="55"/>
        <v>268</v>
      </c>
    </row>
    <row r="272" spans="1:23" ht="15" x14ac:dyDescent="0.3">
      <c r="A272" s="131">
        <v>8</v>
      </c>
      <c r="B272" s="131">
        <v>10</v>
      </c>
      <c r="C272" s="131" t="s">
        <v>317</v>
      </c>
      <c r="D272" s="116" t="s">
        <v>318</v>
      </c>
      <c r="E272" s="132">
        <v>18</v>
      </c>
      <c r="F272" s="19">
        <v>8</v>
      </c>
      <c r="G272" s="116" t="s">
        <v>319</v>
      </c>
      <c r="H272" s="132">
        <v>16</v>
      </c>
      <c r="I272" s="19">
        <v>7</v>
      </c>
      <c r="J272" s="132">
        <v>25</v>
      </c>
      <c r="K272" s="19">
        <v>8</v>
      </c>
      <c r="L272" s="114">
        <f t="shared" si="53"/>
        <v>59</v>
      </c>
      <c r="M272" s="127">
        <f t="shared" si="52"/>
        <v>264</v>
      </c>
      <c r="N272" s="116" t="s">
        <v>320</v>
      </c>
      <c r="O272" s="132">
        <v>8.5</v>
      </c>
      <c r="P272" s="19">
        <v>8</v>
      </c>
      <c r="Q272" s="116" t="s">
        <v>321</v>
      </c>
      <c r="R272" s="132">
        <v>11</v>
      </c>
      <c r="S272" s="19">
        <v>7</v>
      </c>
      <c r="T272" s="132">
        <v>5</v>
      </c>
      <c r="U272" s="19">
        <v>8</v>
      </c>
      <c r="V272" s="130">
        <f t="shared" si="54"/>
        <v>83.5</v>
      </c>
      <c r="W272" s="118">
        <f t="shared" si="55"/>
        <v>269</v>
      </c>
    </row>
    <row r="273" spans="1:23" ht="15" x14ac:dyDescent="0.3">
      <c r="A273" s="131">
        <v>6</v>
      </c>
      <c r="B273" s="131">
        <v>20</v>
      </c>
      <c r="C273" s="131" t="s">
        <v>76</v>
      </c>
      <c r="D273" s="116" t="s">
        <v>318</v>
      </c>
      <c r="E273" s="132">
        <v>15</v>
      </c>
      <c r="F273" s="19">
        <v>9</v>
      </c>
      <c r="G273" s="116" t="s">
        <v>319</v>
      </c>
      <c r="H273" s="132">
        <v>12</v>
      </c>
      <c r="I273" s="19">
        <v>8</v>
      </c>
      <c r="J273" s="132">
        <v>18</v>
      </c>
      <c r="K273" s="19">
        <v>9</v>
      </c>
      <c r="L273" s="114">
        <f t="shared" si="53"/>
        <v>45</v>
      </c>
      <c r="M273" s="127">
        <f t="shared" si="52"/>
        <v>270</v>
      </c>
      <c r="N273" s="116" t="s">
        <v>320</v>
      </c>
      <c r="O273" s="132">
        <v>9.5</v>
      </c>
      <c r="P273" s="19">
        <v>7</v>
      </c>
      <c r="Q273" s="116" t="s">
        <v>321</v>
      </c>
      <c r="R273" s="132">
        <v>9.5</v>
      </c>
      <c r="S273" s="19">
        <v>8</v>
      </c>
      <c r="T273" s="132">
        <v>15</v>
      </c>
      <c r="U273" s="19">
        <v>6</v>
      </c>
      <c r="V273" s="130">
        <f t="shared" si="54"/>
        <v>79</v>
      </c>
      <c r="W273" s="118">
        <f t="shared" si="55"/>
        <v>270</v>
      </c>
    </row>
  </sheetData>
  <autoFilter ref="M3:M226" xr:uid="{25530234-59BB-4918-9121-9CAF3204E8FF}"/>
  <sortState xmlns:xlrd2="http://schemas.microsoft.com/office/spreadsheetml/2017/richdata2" ref="A3:W237">
    <sortCondition ref="M236"/>
  </sortState>
  <mergeCells count="23">
    <mergeCell ref="AC3:AD3"/>
    <mergeCell ref="Y42:Z42"/>
    <mergeCell ref="Y41:Z41"/>
    <mergeCell ref="A1:W1"/>
    <mergeCell ref="Y3:Z3"/>
    <mergeCell ref="A2:H2"/>
    <mergeCell ref="Y39:Z39"/>
    <mergeCell ref="Y40:Z40"/>
    <mergeCell ref="N3:P3"/>
    <mergeCell ref="Q3:S3"/>
    <mergeCell ref="D3:E3"/>
    <mergeCell ref="G3:H3"/>
    <mergeCell ref="AC13:AD14"/>
    <mergeCell ref="AC16:AD16"/>
    <mergeCell ref="AC26:AD27"/>
    <mergeCell ref="AT14:AW14"/>
    <mergeCell ref="AG14:AI14"/>
    <mergeCell ref="AJ13:AJ14"/>
    <mergeCell ref="AK13:AK14"/>
    <mergeCell ref="AE27:AM27"/>
    <mergeCell ref="AP14:AS14"/>
    <mergeCell ref="AL14:AO14"/>
    <mergeCell ref="AE14:AF14"/>
  </mergeCells>
  <phoneticPr fontId="3" type="noConversion"/>
  <conditionalFormatting sqref="F1:F1048576 I1:I1048576 K1:K1048576 P1:P1048576 S1:S1048576 U1:U1048576">
    <cfRule type="cellIs" dxfId="0" priority="1" operator="equal">
      <formula>1</formula>
    </cfRule>
  </conditionalFormatting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예상등급</vt:lpstr>
      <vt:lpstr>예상점수</vt:lpstr>
      <vt:lpstr>예상등급!Print_Area</vt:lpstr>
      <vt:lpstr>예상점수!Print_Area</vt:lpstr>
    </vt:vector>
  </TitlesOfParts>
  <Company>erickbc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현표</dc:creator>
  <cp:lastModifiedBy>익 유</cp:lastModifiedBy>
  <cp:lastPrinted>2019-03-08T06:26:56Z</cp:lastPrinted>
  <dcterms:created xsi:type="dcterms:W3CDTF">2009-09-29T23:00:52Z</dcterms:created>
  <dcterms:modified xsi:type="dcterms:W3CDTF">2026-06-08T02:12:46Z</dcterms:modified>
</cp:coreProperties>
</file>